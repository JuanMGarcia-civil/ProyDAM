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ecom.sharepoint.com/sites/EC_OLN/Shared Documents/General/400_Technical/440_Ground Engineering/04_Bain Adit/03_SPREADSHEETS/Figures plotter/"/>
    </mc:Choice>
  </mc:AlternateContent>
  <xr:revisionPtr revIDLastSave="137" documentId="8_{51932C54-01F5-4DBE-A466-87B2B0D12CA8}" xr6:coauthVersionLast="47" xr6:coauthVersionMax="47" xr10:uidLastSave="{31E6D88A-09ED-4D48-887A-F04D0C9E5013}"/>
  <bookViews>
    <workbookView xWindow="-110" yWindow="-110" windowWidth="19420" windowHeight="11500" xr2:uid="{00000000-000D-0000-FFFF-FFFF00000000}"/>
  </bookViews>
  <sheets>
    <sheet name="TypicalSection" sheetId="11" r:id="rId1"/>
    <sheet name="Collar" sheetId="10" r:id="rId2"/>
    <sheet name="Door Frame" sheetId="9" r:id="rId3"/>
    <sheet name="Template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9" l="1"/>
  <c r="AD9" i="9"/>
  <c r="AC9" i="9"/>
  <c r="AB9" i="9"/>
  <c r="AA9" i="9"/>
  <c r="Z9" i="9"/>
  <c r="Y9" i="9"/>
  <c r="W9" i="9"/>
  <c r="V9" i="9"/>
  <c r="U9" i="9"/>
  <c r="T9" i="9"/>
  <c r="S9" i="9"/>
  <c r="R9" i="9"/>
  <c r="Q9" i="9"/>
  <c r="P9" i="9"/>
  <c r="O9" i="9"/>
  <c r="N9" i="9"/>
  <c r="M9" i="9"/>
  <c r="L9" i="9"/>
  <c r="K9" i="9"/>
  <c r="AE8" i="9"/>
  <c r="AE9" i="9" s="1"/>
  <c r="X8" i="9"/>
  <c r="X9" i="9" s="1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K3" i="9"/>
  <c r="AE4" i="9"/>
  <c r="AE5" i="9" s="1"/>
  <c r="X4" i="9"/>
  <c r="AD5" i="9"/>
  <c r="AC5" i="9"/>
  <c r="AB5" i="9"/>
  <c r="AA5" i="9"/>
  <c r="Z5" i="9"/>
  <c r="Y5" i="9"/>
  <c r="X5" i="9"/>
  <c r="W5" i="9"/>
  <c r="V5" i="9"/>
  <c r="U5" i="9"/>
  <c r="T5" i="9"/>
  <c r="S5" i="9"/>
  <c r="Q5" i="9"/>
  <c r="P5" i="9"/>
  <c r="O5" i="9"/>
  <c r="N5" i="9"/>
  <c r="M5" i="9"/>
  <c r="L5" i="9"/>
  <c r="K5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AE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B12" i="2"/>
  <c r="AD11" i="2"/>
  <c r="AD12" i="2" s="1"/>
  <c r="AC11" i="2"/>
  <c r="AC12" i="2" s="1"/>
  <c r="AB11" i="2"/>
  <c r="AB12" i="2" s="1"/>
  <c r="AA11" i="2"/>
  <c r="AA12" i="2" s="1"/>
  <c r="U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T3" i="2"/>
  <c r="T4" i="2" s="1"/>
  <c r="S3" i="2"/>
  <c r="R3" i="2"/>
  <c r="Q3" i="2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  <c r="T1" i="2"/>
  <c r="S1" i="2"/>
  <c r="R1" i="2"/>
  <c r="Q1" i="2"/>
</calcChain>
</file>

<file path=xl/sharedStrings.xml><?xml version="1.0" encoding="utf-8"?>
<sst xmlns="http://schemas.openxmlformats.org/spreadsheetml/2006/main" count="297" uniqueCount="114">
  <si>
    <t>Graph_Title</t>
  </si>
  <si>
    <t>Diag_File</t>
  </si>
  <si>
    <t>Diag_Sheet</t>
  </si>
  <si>
    <t>Diag_Start</t>
  </si>
  <si>
    <t>Diag_End</t>
  </si>
  <si>
    <t>Diag_ColX</t>
  </si>
  <si>
    <t>Diag_ColY</t>
  </si>
  <si>
    <t>Diag_Label</t>
  </si>
  <si>
    <t>File1_Path</t>
  </si>
  <si>
    <t>File1_Sheet</t>
  </si>
  <si>
    <t>File1_Start</t>
  </si>
  <si>
    <t>File1_End</t>
  </si>
  <si>
    <t>File1_ColX</t>
  </si>
  <si>
    <t>File1_ColY</t>
  </si>
  <si>
    <t>File1_Label</t>
  </si>
  <si>
    <t>File2_Path</t>
  </si>
  <si>
    <t>File2_Sheet</t>
  </si>
  <si>
    <t>File2_Start</t>
  </si>
  <si>
    <t>File2_End</t>
  </si>
  <si>
    <t>File2_ColX</t>
  </si>
  <si>
    <t>File2_ColY</t>
  </si>
  <si>
    <t>File2_Label</t>
  </si>
  <si>
    <t>Diag_ColX2</t>
  </si>
  <si>
    <t>Diag_ColY2</t>
  </si>
  <si>
    <t>File3_Path</t>
  </si>
  <si>
    <t>File3_Sheet</t>
  </si>
  <si>
    <t>File3_Start</t>
  </si>
  <si>
    <t>File3_End</t>
  </si>
  <si>
    <t>File3_ColX</t>
  </si>
  <si>
    <t>File3_ColY</t>
  </si>
  <si>
    <t>File3_Label</t>
  </si>
  <si>
    <t>File4_Path</t>
  </si>
  <si>
    <t>File4_Sheet</t>
  </si>
  <si>
    <t>File4_Start</t>
  </si>
  <si>
    <t>File4_End</t>
  </si>
  <si>
    <t>File4_ColX</t>
  </si>
  <si>
    <t>File4_ColY</t>
  </si>
  <si>
    <t>File4_Label</t>
  </si>
  <si>
    <t>File5_Path</t>
  </si>
  <si>
    <t>File5_Sheet</t>
  </si>
  <si>
    <t>File5_Start</t>
  </si>
  <si>
    <t>File5_End</t>
  </si>
  <si>
    <t>File5_ColX</t>
  </si>
  <si>
    <t>File5_ColY</t>
  </si>
  <si>
    <t>File5_Label</t>
  </si>
  <si>
    <t>File6_Path</t>
  </si>
  <si>
    <t>File6_Sheet</t>
  </si>
  <si>
    <t>File6_Start</t>
  </si>
  <si>
    <t>File6_End</t>
  </si>
  <si>
    <t>File6_ColX</t>
  </si>
  <si>
    <t>File6_ColY</t>
  </si>
  <si>
    <t>File6_Label</t>
  </si>
  <si>
    <t>ULS (14.7)</t>
  </si>
  <si>
    <t>ODE (14.7)</t>
  </si>
  <si>
    <t>MDE (14.7)</t>
  </si>
  <si>
    <t>ULS (14.10)</t>
  </si>
  <si>
    <t>ODE (14.10)</t>
  </si>
  <si>
    <t>MDE (14.10)</t>
  </si>
  <si>
    <t>C:\Users\RiveroI\OneDrive - AECOM\EC_PTUS_OLN_60725426 - COSBURN ST (CAT 3 check)\01_Calc\SAP2000\Design sections\Walls N-M.xlsx</t>
  </si>
  <si>
    <t>Walls Capacity</t>
  </si>
  <si>
    <t>Element Forces - Area Shells</t>
  </si>
  <si>
    <t>C:\Users\RiveroI\OneDrive - AECOM\EC_PTUS_OLN_60725426 - COSBURN ST (CAT 3 check)\01_Calc\SAP2000\Section 14.10 TOC\Results\14.10 Reduced_EI_Wall X+_ULS.xlsx</t>
  </si>
  <si>
    <t>C:\Users\RiveroI\OneDrive - AECOM\EC_PTUS_OLN_60725426 - COSBURN ST (CAT 3 check)\01_Calc\SAP2000\Section 14.10 TOC\Results\14.10 Reduced_EI_Wall X+_ODE.xlsx</t>
  </si>
  <si>
    <t>C:\Users\RiveroI\OneDrive - AECOM\EC_PTUS_OLN_60725426 - COSBURN ST (CAT 3 check)\01_Calc\SAP2000\Section 14.10 TOC\Results\14.10 Reduced_EI_Wall X+_MDE.xlsx</t>
  </si>
  <si>
    <t>Wall_baseReinf_H</t>
  </si>
  <si>
    <t>C:\Users\RiveroI\OneDrive - AECOM\EC_PTUS_OLN_60725426 - COSBURN ST (CAT 3 check)\01_Calc\SAP2000\Design sections\Slabs N-M and M-K.xlsx</t>
  </si>
  <si>
    <t>Base slab, X, M11</t>
  </si>
  <si>
    <t>14.7 Base slab</t>
  </si>
  <si>
    <t>C:\Users\RiveroI\OneDrive - AECOM\EC_PTUS_OLN_60725426 - COSBURN ST (CAT 3 check)\01_Calc\SAP2000\Section 14.7\Results\14.7 Reduced_EI_Base slab_ODE.xlsx</t>
  </si>
  <si>
    <t>C:\Users\RiveroI\OneDrive - AECOM\EC_PTUS_OLN_60725426 - COSBURN ST (CAT 3 check)\01_Calc\SAP2000\Section 14.7\Results\14.7 Reduced_EI_Base slab_MDE.xlsx</t>
  </si>
  <si>
    <t>C:\Users\RiveroI\OneDrive - AECOM\EC_PTUS_OLN_60725426 - COSBURN ST (CAT 3 check)\01_Calc\SAP2000\Section 14.10 TOC\Results\14.10 Reduced_EI_Base slab_ULS.xlsx</t>
  </si>
  <si>
    <t>C:\Users\RiveroI\OneDrive - AECOM\EC_PTUS_OLN_60725426 - COSBURN ST (CAT 3 check)\01_Calc\SAP2000\Section 14.10 TOC\Results\14.10 Reduced_EI_Base slab_ODE.xlsx</t>
  </si>
  <si>
    <t>C:\Users\RiveroI\OneDrive - AECOM\EC_PTUS_OLN_60725426 - COSBURN ST (CAT 3 check)\01_Calc\SAP2000\Section 14.10 TOC\Results\14.10 Reduced_EI_Base slab_MDE.xlsx</t>
  </si>
  <si>
    <t>Wall_Lower level</t>
  </si>
  <si>
    <t>Walls, horizontal, M11, 14.10</t>
  </si>
  <si>
    <t>Walls, vertical, M22, 14.10</t>
  </si>
  <si>
    <t>14.7 Cavern roof</t>
  </si>
  <si>
    <t>Roof slab Capacity (Base reinf.)</t>
  </si>
  <si>
    <t>Roof slab Capacity (X-dir.reinf.)</t>
  </si>
  <si>
    <t>Roof slab Capacity (Y-dir.reinf.)</t>
  </si>
  <si>
    <t>14.10 Cavern roof</t>
  </si>
  <si>
    <t>Roof slab  (1150 mm), X, M11</t>
  </si>
  <si>
    <t>Roof slab  (1600 mm), X, M11</t>
  </si>
  <si>
    <t>C:\Users\RiveroI\OneDrive - AECOM\EC_PTUS_OLN_60725426 - COSBURN ST (CAT 3 check)\01_Calc\SAP2000\Section 14.10 TOC\Results\14.10 Reduced_EI_Roof slab_ULS.xlsx</t>
  </si>
  <si>
    <t>C:\Users\RiveroI\OneDrive - AECOM\EC_PTUS_OLN_60725426 - COSBURN ST (CAT 3 check)\01_Calc\SAP2000\Section 14.10 TOC\Results\14.10 Reduced_EI_Roof slab_ODE.xlsx</t>
  </si>
  <si>
    <t>C:\Users\RiveroI\OneDrive - AECOM\EC_PTUS_OLN_60725426 - COSBURN ST (CAT 3 check)\01_Calc\SAP2000\Section 14.10 TOC\Results\14.10 Reduced_EI_Roof slab_MDE.xlsx</t>
  </si>
  <si>
    <t>Roof slab  (1150 mm), Y, M22</t>
  </si>
  <si>
    <t>Roof slab  (1600 mm), Y, M22</t>
  </si>
  <si>
    <t>14.7 Concourse slab</t>
  </si>
  <si>
    <t>Concourse slab, X, M11</t>
  </si>
  <si>
    <t>C:\Users\RiveroI\OneDrive - AECOM\EC_PTUS_OLN_60725426 - COSBURN ST (CAT 3 check)\01_Calc\SAP2000\Section 14.10 TOC\Results\14.10 Reduced_EI_Concourse slab_ULS.xlsx</t>
  </si>
  <si>
    <t>C:\Users\RiveroI\OneDrive - AECOM\EC_PTUS_OLN_60725426 - COSBURN ST (CAT 3 check)\01_Calc\SAP2000\Section 14.10 TOC\Results\14.10 Reduced_EI_Concourse slab_ODE.xlsx</t>
  </si>
  <si>
    <t>C:\Users\RiveroI\OneDrive - AECOM\EC_PTUS_OLN_60725426 - COSBURN ST (CAT 3 check)\01_Calc\SAP2000\Section 14.10 TOC\Results\14.10 Reduced_EI_Concourse slab_MDE.xlsx</t>
  </si>
  <si>
    <t>Concourse slab Capacity (Base reinf.)</t>
  </si>
  <si>
    <t>C:\Users\RiveroI\OneDrive - AECOM\EC_PTUS_OLN_60725426 - COSBURN ST (CAT 3 check)\01_Calc\SAP2000\Section 14.7\Results\14.7 Reduced_EI_Roof slab_ULS.xlsx</t>
  </si>
  <si>
    <t>C:\Users\RiveroI\OneDrive - AECOM\EC_PTUS_OLN_60725426 - COSBURN ST (CAT 3 check)\01_Calc\SAP2000\Section 14.7\Results\14.7 Reduced_EI_Roof slab_ODE.xlsx</t>
  </si>
  <si>
    <t>C:\Users\RiveroI\OneDrive - AECOM\EC_PTUS_OLN_60725426 - COSBURN ST (CAT 3 check)\01_Calc\SAP2000\Section 14.7\Results\14.7 Reduced_EI_Roof slab_MDE.xlsx</t>
  </si>
  <si>
    <t>C:\Users\RiveroI\OneDrive - AECOM\EC_PTUS_OLN_60725426 - COSBURN ST (CAT 3 check)\01_Calc\SAP2000\Section 14.10 TOC\Results\14.10 Reduced_EI_Roof slab_Columns area_MDE.xlsx</t>
  </si>
  <si>
    <t>C:\Users\RiveroI\OneDrive - AECOM\EC_PTUS_OLN_60725426 - COSBURN ST (CAT 3 check)\01_Calc\SAP2000\Section 14.7\Results\14.7 Reduced_EI_Roof slab_Columns areas_ULS.xlsx</t>
  </si>
  <si>
    <t>C:\Users\RiveroI\OneDrive - AECOM\EC_PTUS_OLN_60725426 - COSBURN ST (CAT 3 check)\01_Calc\SAP2000\Section 14.7\Results\14.7 Reduced_EI_Base slab_ULS.xlsx</t>
  </si>
  <si>
    <t>C:\Users\RiveroI\OneDrive - AECOM\EC_PTUS_OLN_60725426 - COSBURN ST (CAT 3 check)\01_Calc\SAP2000\Section 14.10 TOC\Results\14.10 Reduced_EI_Roof slab_Columns areas_ODE.xlsx</t>
  </si>
  <si>
    <t>C:\Users\RiveroI\OneDrive - AECOM\EC_PTUS_OLN_60725426 - COSBURN ST (CAT 3 check)\01_Calc\SAP2000\Section 14.10 TOC\Results\14.10 Reduced_EI_Roof slab_Columns areas_ULS.xlsx</t>
  </si>
  <si>
    <t>C:\Users\RiveroI\OneDrive - AECOM\EC_PTUS_OLN_60725426 - COSBURN ST (CAT 3 check)\01_Calc\SAP2000\Section 14.7\Results\14.7 Reduced_EI_Roof slab_Columns areas_ODE.xlsx</t>
  </si>
  <si>
    <t>C:\Users\RiveroI\OneDrive - AECOM\EC_PTUS_OLN_60725426 - COSBURN ST (CAT 3 check)\01_Calc\SAP2000\Section 14.7\Results\14.7 Reduced_EI_Roof slab_Columns areas_MDE.xlsx</t>
  </si>
  <si>
    <t xml:space="preserve">Roof slab (1150 mm slab, columns area), X, M11 </t>
  </si>
  <si>
    <t xml:space="preserve">Roof slab (1600 mm slab, columns area), X, M11 </t>
  </si>
  <si>
    <t>Roof slab ( 1600 mm slab, columns area), Y, M22</t>
  </si>
  <si>
    <t>Roof slab ( 1150 mm slab, columns area), Y, M22</t>
  </si>
  <si>
    <t>C:\Users\RiveroI\OneDrive - AECOM\EC_PTUS_OLN_60725426 - COSBURN ST (CAT 3 check)\01_Calc\SAP2000\Section 14.7\Results\14.7 Reduced_EI_Concourse slab_ULS_v1.xlsx</t>
  </si>
  <si>
    <t>C:\Users\RiveroI\OneDrive - AECOM\EC_PTUS_OLN_60725426 - COSBURN ST (CAT 3 check)\01_Calc\SAP2000\Section 14.7\Results\14.7 Reduced_EI_Concourse slab_ODE_v1.xlsx</t>
  </si>
  <si>
    <t>C:\Users\RiveroI\OneDrive - AECOM\EC_PTUS_OLN_60725426 - COSBURN ST (CAT 3 check)\01_Calc\SAP2000\Section 14.7\Results\14.7 Reduced_EI_Concourse slab_MDE_v1.xlsx</t>
  </si>
  <si>
    <t>Typical Section Crown</t>
  </si>
  <si>
    <t>Strenght T-I</t>
  </si>
  <si>
    <t>Extreme (Derail &amp; Fire)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</si>
</sst>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1" fillId="2" borderId="1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7FFD7-9576-4DAF-A70D-355767587DEA}">
  <dimension ref="A1:AZ7"/>
  <sheetViews>
    <sheetView tabSelected="1" zoomScale="40" zoomScaleNormal="40" workbookViewId="0">
      <selection activeCell="X3" sqref="X3"/>
    </sheetView>
  </sheetViews>
  <sheetFormatPr defaultRowHeight="14.5" x14ac:dyDescent="0.35"/>
  <cols>
    <col min="1" max="2" width="14.453125" customWidth="1"/>
    <col min="3" max="9" width="8.54296875" customWidth="1"/>
    <col min="10" max="11" width="18.453125" customWidth="1"/>
    <col min="12" max="12" width="13.1796875" customWidth="1"/>
    <col min="13" max="17" width="10" customWidth="1"/>
    <col min="18" max="18" width="24.81640625" customWidth="1"/>
    <col min="25" max="25" width="19.81640625" customWidth="1"/>
    <col min="26" max="26" width="8.7265625" customWidth="1"/>
    <col min="32" max="32" width="19" customWidth="1"/>
    <col min="39" max="39" width="20.81640625" customWidth="1"/>
    <col min="46" max="46" width="20.453125" customWidth="1"/>
  </cols>
  <sheetData>
    <row r="1" spans="1:52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22</v>
      </c>
      <c r="I1" s="1" t="s">
        <v>23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ht="197.5" customHeight="1" thickBot="1" x14ac:dyDescent="0.4">
      <c r="A2" s="2" t="s">
        <v>66</v>
      </c>
      <c r="B2" s="2" t="s">
        <v>65</v>
      </c>
      <c r="C2" s="2" t="s">
        <v>67</v>
      </c>
      <c r="D2" s="2">
        <v>3</v>
      </c>
      <c r="E2" s="2">
        <v>13</v>
      </c>
      <c r="F2" s="2">
        <v>4</v>
      </c>
      <c r="G2" s="2">
        <v>2</v>
      </c>
      <c r="H2" s="2">
        <v>40</v>
      </c>
      <c r="I2" s="2">
        <v>38</v>
      </c>
      <c r="J2" s="2" t="s">
        <v>111</v>
      </c>
      <c r="K2" s="3" t="s">
        <v>99</v>
      </c>
      <c r="L2" s="2" t="s">
        <v>60</v>
      </c>
      <c r="M2" s="2">
        <v>4</v>
      </c>
      <c r="N2" s="2">
        <v>9235</v>
      </c>
      <c r="O2" s="2">
        <v>15</v>
      </c>
      <c r="P2" s="2">
        <v>8</v>
      </c>
      <c r="Q2" s="2" t="s">
        <v>112</v>
      </c>
      <c r="R2" s="3" t="s">
        <v>68</v>
      </c>
      <c r="S2" s="2" t="s">
        <v>60</v>
      </c>
      <c r="T2" s="2">
        <v>4</v>
      </c>
      <c r="U2" s="2">
        <v>9235</v>
      </c>
      <c r="V2" s="2">
        <v>15</v>
      </c>
      <c r="W2" s="2">
        <v>8</v>
      </c>
      <c r="X2" s="2" t="s">
        <v>113</v>
      </c>
      <c r="Y2" s="3" t="s">
        <v>69</v>
      </c>
      <c r="Z2" s="2" t="s">
        <v>60</v>
      </c>
      <c r="AA2" s="2">
        <v>4</v>
      </c>
      <c r="AB2" s="2">
        <v>11523</v>
      </c>
      <c r="AC2" s="2">
        <v>15</v>
      </c>
      <c r="AD2" s="2">
        <v>8</v>
      </c>
      <c r="AE2" s="2" t="s">
        <v>54</v>
      </c>
      <c r="AF2" s="3" t="s">
        <v>70</v>
      </c>
      <c r="AG2" s="2" t="s">
        <v>60</v>
      </c>
      <c r="AH2" s="2">
        <v>4</v>
      </c>
      <c r="AI2" s="2">
        <v>11523</v>
      </c>
      <c r="AJ2" s="2">
        <v>15</v>
      </c>
      <c r="AK2" s="2">
        <v>8</v>
      </c>
      <c r="AL2" s="2" t="s">
        <v>55</v>
      </c>
      <c r="AM2" s="3" t="s">
        <v>71</v>
      </c>
      <c r="AN2" s="2" t="s">
        <v>60</v>
      </c>
      <c r="AO2" s="2">
        <v>4</v>
      </c>
      <c r="AP2" s="2">
        <v>11523</v>
      </c>
      <c r="AQ2" s="2">
        <v>15</v>
      </c>
      <c r="AR2" s="2">
        <v>8</v>
      </c>
      <c r="AS2" s="2" t="s">
        <v>56</v>
      </c>
      <c r="AT2" s="3" t="s">
        <v>72</v>
      </c>
      <c r="AU2" s="2" t="s">
        <v>60</v>
      </c>
      <c r="AV2" s="2">
        <v>4</v>
      </c>
      <c r="AW2" s="2">
        <v>11523</v>
      </c>
      <c r="AX2" s="2">
        <v>15</v>
      </c>
      <c r="AY2" s="2">
        <v>8</v>
      </c>
      <c r="AZ2" s="2" t="s">
        <v>57</v>
      </c>
    </row>
    <row r="3" spans="1:52" ht="201.65" customHeight="1" thickBo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97.5" customHeight="1" thickBot="1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3"/>
      <c r="S4" s="2"/>
      <c r="T4" s="2"/>
      <c r="U4" s="2"/>
      <c r="V4" s="2"/>
      <c r="W4" s="2"/>
      <c r="X4" s="2"/>
      <c r="Y4" s="3"/>
      <c r="Z4" s="2"/>
      <c r="AA4" s="2"/>
      <c r="AB4" s="2"/>
      <c r="AC4" s="2"/>
      <c r="AD4" s="2"/>
      <c r="AE4" s="2"/>
    </row>
    <row r="5" spans="1:52" ht="201.65" customHeight="1" thickBot="1" x14ac:dyDescent="0.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52" ht="237.65" customHeight="1" thickBo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X6" s="2"/>
      <c r="Y6" s="3"/>
      <c r="Z6" s="2"/>
      <c r="AA6" s="2"/>
      <c r="AB6" s="2"/>
      <c r="AC6" s="2"/>
      <c r="AD6" s="2"/>
      <c r="AE6" s="2"/>
    </row>
    <row r="7" spans="1:52" ht="217.5" customHeight="1" thickBot="1" x14ac:dyDescent="0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B06D8-C0E3-499D-B6D2-136A727DF82A}">
  <dimension ref="A1:AZ8"/>
  <sheetViews>
    <sheetView zoomScale="40" zoomScaleNormal="40" workbookViewId="0">
      <selection activeCell="A3" sqref="A3:BA9"/>
    </sheetView>
  </sheetViews>
  <sheetFormatPr defaultRowHeight="14.5" x14ac:dyDescent="0.35"/>
  <cols>
    <col min="1" max="2" width="14.453125" customWidth="1"/>
    <col min="3" max="9" width="8.54296875" customWidth="1"/>
    <col min="10" max="11" width="18.453125" customWidth="1"/>
    <col min="12" max="12" width="13.1796875" customWidth="1"/>
    <col min="13" max="17" width="10" customWidth="1"/>
    <col min="18" max="18" width="24.81640625" customWidth="1"/>
    <col min="25" max="25" width="19.81640625" customWidth="1"/>
    <col min="26" max="26" width="8.7265625" customWidth="1"/>
    <col min="32" max="32" width="19" customWidth="1"/>
    <col min="39" max="39" width="20.81640625" customWidth="1"/>
    <col min="46" max="46" width="20.453125" customWidth="1"/>
  </cols>
  <sheetData>
    <row r="1" spans="1:52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22</v>
      </c>
      <c r="I1" s="1" t="s">
        <v>23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ht="197.5" customHeight="1" thickBot="1" x14ac:dyDescent="0.4">
      <c r="A2" s="2" t="s">
        <v>89</v>
      </c>
      <c r="B2" s="2" t="s">
        <v>65</v>
      </c>
      <c r="C2" s="2" t="s">
        <v>88</v>
      </c>
      <c r="D2" s="2">
        <v>3</v>
      </c>
      <c r="E2" s="2">
        <v>13</v>
      </c>
      <c r="F2" s="2">
        <v>4</v>
      </c>
      <c r="G2" s="2">
        <v>2</v>
      </c>
      <c r="H2" s="2">
        <v>40</v>
      </c>
      <c r="I2" s="2">
        <v>38</v>
      </c>
      <c r="J2" s="2" t="s">
        <v>93</v>
      </c>
      <c r="K2" s="3" t="s">
        <v>108</v>
      </c>
      <c r="L2" s="2" t="s">
        <v>60</v>
      </c>
      <c r="M2" s="2">
        <v>4</v>
      </c>
      <c r="N2" s="2">
        <v>9235</v>
      </c>
      <c r="O2" s="2">
        <v>15</v>
      </c>
      <c r="P2" s="2">
        <v>8</v>
      </c>
      <c r="Q2" s="2" t="s">
        <v>52</v>
      </c>
      <c r="R2" s="3" t="s">
        <v>109</v>
      </c>
      <c r="S2" s="2" t="s">
        <v>60</v>
      </c>
      <c r="T2" s="2">
        <v>4</v>
      </c>
      <c r="U2" s="2">
        <v>9235</v>
      </c>
      <c r="V2" s="2">
        <v>15</v>
      </c>
      <c r="W2" s="2">
        <v>8</v>
      </c>
      <c r="X2" s="2" t="s">
        <v>53</v>
      </c>
      <c r="Y2" s="3" t="s">
        <v>110</v>
      </c>
      <c r="Z2" s="2" t="s">
        <v>60</v>
      </c>
      <c r="AA2" s="2">
        <v>4</v>
      </c>
      <c r="AB2" s="2">
        <v>9235</v>
      </c>
      <c r="AC2" s="2">
        <v>15</v>
      </c>
      <c r="AD2" s="2">
        <v>8</v>
      </c>
      <c r="AE2" s="2" t="s">
        <v>54</v>
      </c>
      <c r="AF2" s="3" t="s">
        <v>90</v>
      </c>
      <c r="AG2" s="2" t="s">
        <v>60</v>
      </c>
      <c r="AH2" s="2">
        <v>4</v>
      </c>
      <c r="AI2" s="2">
        <v>9235</v>
      </c>
      <c r="AJ2" s="2">
        <v>15</v>
      </c>
      <c r="AK2" s="2">
        <v>8</v>
      </c>
      <c r="AL2" s="2" t="s">
        <v>55</v>
      </c>
      <c r="AM2" s="3" t="s">
        <v>91</v>
      </c>
      <c r="AN2" s="2" t="s">
        <v>60</v>
      </c>
      <c r="AO2" s="2">
        <v>4</v>
      </c>
      <c r="AP2" s="2">
        <v>9235</v>
      </c>
      <c r="AQ2" s="2">
        <v>15</v>
      </c>
      <c r="AR2" s="2">
        <v>8</v>
      </c>
      <c r="AS2" s="2" t="s">
        <v>56</v>
      </c>
      <c r="AT2" s="3" t="s">
        <v>92</v>
      </c>
      <c r="AU2" s="2" t="s">
        <v>60</v>
      </c>
      <c r="AV2" s="2">
        <v>4</v>
      </c>
      <c r="AW2" s="2">
        <v>9235</v>
      </c>
      <c r="AX2" s="2">
        <v>15</v>
      </c>
      <c r="AY2" s="2">
        <v>8</v>
      </c>
      <c r="AZ2" s="2" t="s">
        <v>57</v>
      </c>
    </row>
    <row r="3" spans="1:52" ht="201.65" customHeight="1" thickBo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97.5" customHeight="1" thickBot="1" x14ac:dyDescent="0.4">
      <c r="A4" s="2"/>
      <c r="B4" s="2"/>
      <c r="C4" s="2"/>
      <c r="D4" s="2"/>
      <c r="E4" s="2"/>
      <c r="F4" s="2"/>
      <c r="G4" s="2"/>
      <c r="H4" s="2"/>
      <c r="I4" s="2"/>
      <c r="J4" s="2"/>
      <c r="K4" s="3"/>
      <c r="L4" s="2"/>
      <c r="M4" s="2"/>
      <c r="N4" s="2"/>
      <c r="O4" s="2"/>
      <c r="P4" s="2"/>
      <c r="Q4" s="2"/>
      <c r="R4" s="3"/>
      <c r="S4" s="2"/>
      <c r="T4" s="2"/>
      <c r="U4" s="2"/>
      <c r="V4" s="2"/>
      <c r="W4" s="2"/>
      <c r="X4" s="2"/>
      <c r="Y4" s="3"/>
      <c r="Z4" s="2"/>
      <c r="AA4" s="2"/>
      <c r="AB4" s="2"/>
      <c r="AC4" s="2"/>
      <c r="AD4" s="2"/>
      <c r="AE4" s="2"/>
    </row>
    <row r="5" spans="1:52" ht="201.65" customHeight="1" thickBot="1" x14ac:dyDescent="0.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52" ht="237.65" customHeight="1" thickBo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3"/>
      <c r="S6" s="2"/>
      <c r="T6" s="2"/>
      <c r="U6" s="2"/>
      <c r="V6" s="2"/>
      <c r="W6" s="2"/>
      <c r="X6" s="2"/>
      <c r="Y6" s="3"/>
      <c r="Z6" s="2"/>
      <c r="AA6" s="2"/>
      <c r="AB6" s="2"/>
      <c r="AC6" s="2"/>
      <c r="AD6" s="2"/>
      <c r="AE6" s="2"/>
    </row>
    <row r="7" spans="1:52" ht="217.5" customHeight="1" thickBot="1" x14ac:dyDescent="0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52" ht="15" thickBot="1" x14ac:dyDescent="0.4">
      <c r="A8" s="2"/>
      <c r="B8" s="2"/>
      <c r="C8" s="2"/>
      <c r="D8" s="2"/>
      <c r="E8" s="2"/>
      <c r="F8" s="2"/>
      <c r="G8" s="2"/>
      <c r="H8" s="2"/>
      <c r="I8" s="2"/>
      <c r="J8" s="2"/>
      <c r="K8" s="3"/>
      <c r="L8" s="2"/>
      <c r="M8" s="2"/>
      <c r="N8" s="2"/>
      <c r="O8" s="2"/>
      <c r="P8" s="2"/>
      <c r="Q8" s="2"/>
      <c r="R8" s="3"/>
      <c r="S8" s="2"/>
      <c r="T8" s="2"/>
      <c r="U8" s="2"/>
      <c r="V8" s="2"/>
      <c r="W8" s="2"/>
      <c r="X8" s="2"/>
      <c r="Y8" s="3"/>
      <c r="Z8" s="2"/>
      <c r="AA8" s="2"/>
      <c r="AB8" s="2"/>
      <c r="AC8" s="2"/>
      <c r="AD8" s="2"/>
      <c r="AE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7632C-87E7-480D-9B28-C2DEE335584B}">
  <dimension ref="A1:AZ9"/>
  <sheetViews>
    <sheetView topLeftCell="A6" zoomScale="40" zoomScaleNormal="40" workbookViewId="0">
      <selection activeCell="M6" sqref="M6"/>
    </sheetView>
  </sheetViews>
  <sheetFormatPr defaultRowHeight="14.5" x14ac:dyDescent="0.35"/>
  <cols>
    <col min="1" max="2" width="14.453125" customWidth="1"/>
    <col min="3" max="9" width="8.54296875" customWidth="1"/>
    <col min="10" max="11" width="18.453125" customWidth="1"/>
    <col min="12" max="12" width="13.1796875" customWidth="1"/>
    <col min="13" max="17" width="10" customWidth="1"/>
    <col min="18" max="18" width="24.81640625" customWidth="1"/>
    <col min="25" max="25" width="19.81640625" customWidth="1"/>
    <col min="26" max="26" width="8.7265625" customWidth="1"/>
    <col min="32" max="32" width="19" customWidth="1"/>
    <col min="39" max="39" width="20.81640625" customWidth="1"/>
    <col min="46" max="46" width="20.453125" customWidth="1"/>
  </cols>
  <sheetData>
    <row r="1" spans="1:52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22</v>
      </c>
      <c r="I1" s="1" t="s">
        <v>23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ht="197.5" customHeight="1" thickBot="1" x14ac:dyDescent="0.4">
      <c r="A2" s="2" t="s">
        <v>82</v>
      </c>
      <c r="B2" s="2" t="s">
        <v>65</v>
      </c>
      <c r="C2" s="2" t="s">
        <v>76</v>
      </c>
      <c r="D2" s="2">
        <v>3</v>
      </c>
      <c r="E2" s="2">
        <v>13</v>
      </c>
      <c r="F2" s="2">
        <v>4</v>
      </c>
      <c r="G2" s="2">
        <v>2</v>
      </c>
      <c r="H2" s="2">
        <v>40</v>
      </c>
      <c r="I2" s="2">
        <v>38</v>
      </c>
      <c r="J2" s="2" t="s">
        <v>77</v>
      </c>
      <c r="K2" s="2" t="s">
        <v>94</v>
      </c>
      <c r="L2" s="2" t="s">
        <v>60</v>
      </c>
      <c r="M2" s="2">
        <v>4</v>
      </c>
      <c r="N2" s="2">
        <v>3875</v>
      </c>
      <c r="O2" s="2">
        <v>15</v>
      </c>
      <c r="P2" s="2">
        <v>8</v>
      </c>
      <c r="Q2" s="2" t="s">
        <v>52</v>
      </c>
      <c r="R2" s="2" t="s">
        <v>95</v>
      </c>
      <c r="S2" s="2" t="s">
        <v>60</v>
      </c>
      <c r="T2" s="2">
        <v>4</v>
      </c>
      <c r="U2" s="2">
        <v>3875</v>
      </c>
      <c r="V2" s="2">
        <v>15</v>
      </c>
      <c r="W2" s="2">
        <v>8</v>
      </c>
      <c r="X2" s="2" t="s">
        <v>53</v>
      </c>
      <c r="Y2" s="2" t="s">
        <v>96</v>
      </c>
      <c r="Z2" s="2" t="s">
        <v>60</v>
      </c>
      <c r="AA2" s="2">
        <v>4</v>
      </c>
      <c r="AB2" s="2">
        <v>3875</v>
      </c>
      <c r="AC2" s="2">
        <v>15</v>
      </c>
      <c r="AD2" s="2">
        <v>8</v>
      </c>
      <c r="AE2" s="2" t="s">
        <v>54</v>
      </c>
    </row>
    <row r="3" spans="1:52" ht="201.65" customHeight="1" thickBot="1" x14ac:dyDescent="0.4">
      <c r="A3" s="2" t="s">
        <v>87</v>
      </c>
      <c r="B3" s="2" t="s">
        <v>65</v>
      </c>
      <c r="C3" s="2" t="s">
        <v>76</v>
      </c>
      <c r="D3" s="2">
        <v>3</v>
      </c>
      <c r="E3" s="2">
        <v>13</v>
      </c>
      <c r="F3" s="2">
        <v>4</v>
      </c>
      <c r="G3" s="2">
        <v>2</v>
      </c>
      <c r="H3" s="2">
        <v>40</v>
      </c>
      <c r="I3" s="2">
        <v>38</v>
      </c>
      <c r="J3" s="2" t="s">
        <v>77</v>
      </c>
      <c r="K3" s="2" t="str">
        <f>K2</f>
        <v>C:\Users\RiveroI\OneDrive - AECOM\EC_PTUS_OLN_60725426 - COSBURN ST (CAT 3 check)\01_Calc\SAP2000\Section 14.7\Results\14.7 Reduced_EI_Roof slab_ULS.xlsx</v>
      </c>
      <c r="L3" s="2" t="str">
        <f t="shared" ref="L3:L9" si="0">L2</f>
        <v>Element Forces - Area Shells</v>
      </c>
      <c r="M3" s="2">
        <f>M2</f>
        <v>4</v>
      </c>
      <c r="N3" s="2">
        <f>N2</f>
        <v>3875</v>
      </c>
      <c r="O3" s="2">
        <f>O2+1</f>
        <v>16</v>
      </c>
      <c r="P3" s="2">
        <f>P2+1</f>
        <v>9</v>
      </c>
      <c r="Q3" s="2" t="str">
        <f t="shared" ref="Q3:S5" si="1">Q2</f>
        <v>ULS (14.7)</v>
      </c>
      <c r="R3" s="2" t="str">
        <f t="shared" si="1"/>
        <v>C:\Users\RiveroI\OneDrive - AECOM\EC_PTUS_OLN_60725426 - COSBURN ST (CAT 3 check)\01_Calc\SAP2000\Section 14.7\Results\14.7 Reduced_EI_Roof slab_ODE.xlsx</v>
      </c>
      <c r="S3" s="2" t="str">
        <f t="shared" si="1"/>
        <v>Element Forces - Area Shells</v>
      </c>
      <c r="T3" s="2">
        <f>T2</f>
        <v>4</v>
      </c>
      <c r="U3" s="2">
        <f>U2</f>
        <v>3875</v>
      </c>
      <c r="V3" s="2">
        <f>V2+1</f>
        <v>16</v>
      </c>
      <c r="W3" s="2">
        <f>W2+1</f>
        <v>9</v>
      </c>
      <c r="X3" s="2" t="str">
        <f t="shared" ref="X3:Z3" si="2">X2</f>
        <v>ODE (14.7)</v>
      </c>
      <c r="Y3" s="2" t="str">
        <f t="shared" si="2"/>
        <v>C:\Users\RiveroI\OneDrive - AECOM\EC_PTUS_OLN_60725426 - COSBURN ST (CAT 3 check)\01_Calc\SAP2000\Section 14.7\Results\14.7 Reduced_EI_Roof slab_MDE.xlsx</v>
      </c>
      <c r="Z3" s="2" t="str">
        <f t="shared" si="2"/>
        <v>Element Forces - Area Shells</v>
      </c>
      <c r="AA3" s="2">
        <f>AA2</f>
        <v>4</v>
      </c>
      <c r="AB3" s="2">
        <f>AB2</f>
        <v>3875</v>
      </c>
      <c r="AC3" s="2">
        <f>AC2+1</f>
        <v>16</v>
      </c>
      <c r="AD3" s="2">
        <f>AD2+1</f>
        <v>9</v>
      </c>
      <c r="AE3" s="2" t="str">
        <f>AE2</f>
        <v>MDE (14.7)</v>
      </c>
    </row>
    <row r="4" spans="1:52" ht="197.5" customHeight="1" thickBot="1" x14ac:dyDescent="0.4">
      <c r="A4" s="2" t="s">
        <v>105</v>
      </c>
      <c r="B4" s="2" t="s">
        <v>65</v>
      </c>
      <c r="C4" s="2" t="s">
        <v>76</v>
      </c>
      <c r="D4" s="2">
        <v>18</v>
      </c>
      <c r="E4" s="2">
        <v>28</v>
      </c>
      <c r="F4" s="2">
        <v>4</v>
      </c>
      <c r="G4" s="2">
        <v>2</v>
      </c>
      <c r="H4" s="2">
        <v>40</v>
      </c>
      <c r="I4" s="2">
        <v>38</v>
      </c>
      <c r="J4" s="2" t="s">
        <v>78</v>
      </c>
      <c r="K4" s="2" t="s">
        <v>98</v>
      </c>
      <c r="L4" s="2" t="s">
        <v>60</v>
      </c>
      <c r="M4" s="2">
        <v>4</v>
      </c>
      <c r="N4" s="2">
        <v>3875</v>
      </c>
      <c r="O4" s="2">
        <v>15</v>
      </c>
      <c r="P4" s="2">
        <v>8</v>
      </c>
      <c r="Q4" s="2" t="s">
        <v>52</v>
      </c>
      <c r="R4" s="2" t="s">
        <v>102</v>
      </c>
      <c r="S4" s="2" t="s">
        <v>60</v>
      </c>
      <c r="T4" s="2">
        <v>4</v>
      </c>
      <c r="U4" s="2">
        <v>3875</v>
      </c>
      <c r="V4" s="2">
        <v>15</v>
      </c>
      <c r="W4" s="2">
        <v>8</v>
      </c>
      <c r="X4" s="2" t="str">
        <f>X2</f>
        <v>ODE (14.7)</v>
      </c>
      <c r="Y4" s="2" t="s">
        <v>103</v>
      </c>
      <c r="Z4" s="2" t="s">
        <v>60</v>
      </c>
      <c r="AA4" s="2">
        <v>4</v>
      </c>
      <c r="AB4" s="2">
        <v>3875</v>
      </c>
      <c r="AC4" s="2">
        <v>15</v>
      </c>
      <c r="AD4" s="2">
        <v>8</v>
      </c>
      <c r="AE4" s="2" t="str">
        <f>AE2</f>
        <v>MDE (14.7)</v>
      </c>
    </row>
    <row r="5" spans="1:52" ht="201.65" customHeight="1" thickBot="1" x14ac:dyDescent="0.4">
      <c r="A5" s="2" t="s">
        <v>106</v>
      </c>
      <c r="B5" s="2" t="s">
        <v>65</v>
      </c>
      <c r="C5" s="2" t="s">
        <v>76</v>
      </c>
      <c r="D5" s="2">
        <v>33</v>
      </c>
      <c r="E5" s="2">
        <v>43</v>
      </c>
      <c r="F5" s="2">
        <v>4</v>
      </c>
      <c r="G5" s="2">
        <v>2</v>
      </c>
      <c r="H5" s="2">
        <v>40</v>
      </c>
      <c r="I5" s="2">
        <v>38</v>
      </c>
      <c r="J5" s="2" t="s">
        <v>79</v>
      </c>
      <c r="K5" s="2" t="str">
        <f>K4</f>
        <v>C:\Users\RiveroI\OneDrive - AECOM\EC_PTUS_OLN_60725426 - COSBURN ST (CAT 3 check)\01_Calc\SAP2000\Section 14.7\Results\14.7 Reduced_EI_Roof slab_Columns areas_ULS.xlsx</v>
      </c>
      <c r="L5" s="2" t="str">
        <f t="shared" si="0"/>
        <v>Element Forces - Area Shells</v>
      </c>
      <c r="M5" s="2">
        <f>M4</f>
        <v>4</v>
      </c>
      <c r="N5" s="2">
        <f>N4</f>
        <v>3875</v>
      </c>
      <c r="O5" s="2">
        <f>O4+1</f>
        <v>16</v>
      </c>
      <c r="P5" s="2">
        <f>P4+1</f>
        <v>9</v>
      </c>
      <c r="Q5" s="2" t="str">
        <f t="shared" si="1"/>
        <v>ULS (14.7)</v>
      </c>
      <c r="R5" s="2" t="str">
        <f>R4</f>
        <v>C:\Users\RiveroI\OneDrive - AECOM\EC_PTUS_OLN_60725426 - COSBURN ST (CAT 3 check)\01_Calc\SAP2000\Section 14.7\Results\14.7 Reduced_EI_Roof slab_Columns areas_ODE.xlsx</v>
      </c>
      <c r="S5" s="2" t="str">
        <f t="shared" si="1"/>
        <v>Element Forces - Area Shells</v>
      </c>
      <c r="T5" s="2">
        <f>T4</f>
        <v>4</v>
      </c>
      <c r="U5" s="2">
        <f>U4</f>
        <v>3875</v>
      </c>
      <c r="V5" s="2">
        <f>V4+1</f>
        <v>16</v>
      </c>
      <c r="W5" s="2">
        <f>W4+1</f>
        <v>9</v>
      </c>
      <c r="X5" s="2" t="str">
        <f t="shared" ref="X5:Z5" si="3">X4</f>
        <v>ODE (14.7)</v>
      </c>
      <c r="Y5" s="2" t="str">
        <f t="shared" si="3"/>
        <v>C:\Users\RiveroI\OneDrive - AECOM\EC_PTUS_OLN_60725426 - COSBURN ST (CAT 3 check)\01_Calc\SAP2000\Section 14.7\Results\14.7 Reduced_EI_Roof slab_Columns areas_MDE.xlsx</v>
      </c>
      <c r="Z5" s="2" t="str">
        <f t="shared" si="3"/>
        <v>Element Forces - Area Shells</v>
      </c>
      <c r="AA5" s="2">
        <f>AA4</f>
        <v>4</v>
      </c>
      <c r="AB5" s="2">
        <f>AB4</f>
        <v>3875</v>
      </c>
      <c r="AC5" s="2">
        <f>AC4+1</f>
        <v>16</v>
      </c>
      <c r="AD5" s="2">
        <f>AD4+1</f>
        <v>9</v>
      </c>
      <c r="AE5" s="2" t="str">
        <f>AE4</f>
        <v>MDE (14.7)</v>
      </c>
    </row>
    <row r="6" spans="1:52" ht="182.5" thickBot="1" x14ac:dyDescent="0.4">
      <c r="A6" s="2" t="s">
        <v>81</v>
      </c>
      <c r="B6" s="2" t="s">
        <v>65</v>
      </c>
      <c r="C6" s="2" t="s">
        <v>80</v>
      </c>
      <c r="D6" s="2">
        <v>3</v>
      </c>
      <c r="E6" s="2">
        <v>13</v>
      </c>
      <c r="F6" s="2">
        <v>4</v>
      </c>
      <c r="G6" s="2">
        <v>2</v>
      </c>
      <c r="H6" s="2">
        <v>40</v>
      </c>
      <c r="I6" s="2">
        <v>38</v>
      </c>
      <c r="J6" s="2" t="s">
        <v>77</v>
      </c>
      <c r="K6" s="2" t="s">
        <v>83</v>
      </c>
      <c r="L6" s="2" t="s">
        <v>60</v>
      </c>
      <c r="M6" s="2">
        <v>4</v>
      </c>
      <c r="N6" s="2">
        <v>3875</v>
      </c>
      <c r="O6" s="2">
        <v>15</v>
      </c>
      <c r="P6" s="2">
        <v>8</v>
      </c>
      <c r="Q6" s="2" t="s">
        <v>55</v>
      </c>
      <c r="R6" s="2" t="s">
        <v>84</v>
      </c>
      <c r="S6" s="2" t="s">
        <v>60</v>
      </c>
      <c r="T6" s="2">
        <v>4</v>
      </c>
      <c r="U6" s="2">
        <v>3875</v>
      </c>
      <c r="V6" s="2">
        <v>15</v>
      </c>
      <c r="W6" s="2">
        <v>8</v>
      </c>
      <c r="X6" s="2" t="s">
        <v>56</v>
      </c>
      <c r="Y6" s="2" t="s">
        <v>85</v>
      </c>
      <c r="Z6" s="2" t="s">
        <v>60</v>
      </c>
      <c r="AA6" s="2">
        <v>4</v>
      </c>
      <c r="AB6" s="2">
        <v>3875</v>
      </c>
      <c r="AC6" s="2">
        <v>15</v>
      </c>
      <c r="AD6" s="2">
        <v>8</v>
      </c>
      <c r="AE6" s="2" t="s">
        <v>57</v>
      </c>
    </row>
    <row r="7" spans="1:52" ht="182.5" thickBot="1" x14ac:dyDescent="0.4">
      <c r="A7" s="2" t="s">
        <v>86</v>
      </c>
      <c r="B7" s="2" t="s">
        <v>65</v>
      </c>
      <c r="C7" s="2" t="s">
        <v>80</v>
      </c>
      <c r="D7" s="2">
        <v>3</v>
      </c>
      <c r="E7" s="2">
        <v>13</v>
      </c>
      <c r="F7" s="2">
        <v>4</v>
      </c>
      <c r="G7" s="2">
        <v>2</v>
      </c>
      <c r="H7" s="2">
        <v>40</v>
      </c>
      <c r="I7" s="2">
        <v>38</v>
      </c>
      <c r="J7" s="2" t="s">
        <v>77</v>
      </c>
      <c r="K7" s="2" t="str">
        <f>K6</f>
        <v>C:\Users\RiveroI\OneDrive - AECOM\EC_PTUS_OLN_60725426 - COSBURN ST (CAT 3 check)\01_Calc\SAP2000\Section 14.10 TOC\Results\14.10 Reduced_EI_Roof slab_ULS.xlsx</v>
      </c>
      <c r="L7" s="2" t="str">
        <f t="shared" si="0"/>
        <v>Element Forces - Area Shells</v>
      </c>
      <c r="M7" s="2">
        <f>M6</f>
        <v>4</v>
      </c>
      <c r="N7" s="2">
        <f>N6</f>
        <v>3875</v>
      </c>
      <c r="O7" s="2">
        <f>O6+1</f>
        <v>16</v>
      </c>
      <c r="P7" s="2">
        <f>P6+1</f>
        <v>9</v>
      </c>
      <c r="Q7" s="2" t="str">
        <f t="shared" ref="Q7:S7" si="4">Q6</f>
        <v>ULS (14.10)</v>
      </c>
      <c r="R7" s="2" t="str">
        <f t="shared" si="4"/>
        <v>C:\Users\RiveroI\OneDrive - AECOM\EC_PTUS_OLN_60725426 - COSBURN ST (CAT 3 check)\01_Calc\SAP2000\Section 14.10 TOC\Results\14.10 Reduced_EI_Roof slab_ODE.xlsx</v>
      </c>
      <c r="S7" s="2" t="str">
        <f t="shared" si="4"/>
        <v>Element Forces - Area Shells</v>
      </c>
      <c r="T7" s="2">
        <f>T6</f>
        <v>4</v>
      </c>
      <c r="U7" s="2">
        <f>U6</f>
        <v>3875</v>
      </c>
      <c r="V7" s="2">
        <f>V6+1</f>
        <v>16</v>
      </c>
      <c r="W7" s="2">
        <f>W6+1</f>
        <v>9</v>
      </c>
      <c r="X7" s="2" t="str">
        <f t="shared" ref="X7:Z7" si="5">X6</f>
        <v>ODE (14.10)</v>
      </c>
      <c r="Y7" s="2" t="str">
        <f t="shared" si="5"/>
        <v>C:\Users\RiveroI\OneDrive - AECOM\EC_PTUS_OLN_60725426 - COSBURN ST (CAT 3 check)\01_Calc\SAP2000\Section 14.10 TOC\Results\14.10 Reduced_EI_Roof slab_MDE.xlsx</v>
      </c>
      <c r="Z7" s="2" t="str">
        <f t="shared" si="5"/>
        <v>Element Forces - Area Shells</v>
      </c>
      <c r="AA7" s="2">
        <f>AA6</f>
        <v>4</v>
      </c>
      <c r="AB7" s="2">
        <f>AB6</f>
        <v>3875</v>
      </c>
      <c r="AC7" s="2">
        <f>AC6+1</f>
        <v>16</v>
      </c>
      <c r="AD7" s="2">
        <f>AD6+1</f>
        <v>9</v>
      </c>
      <c r="AE7" s="2" t="str">
        <f>AE6</f>
        <v>MDE (14.10)</v>
      </c>
    </row>
    <row r="8" spans="1:52" ht="182.5" thickBot="1" x14ac:dyDescent="0.4">
      <c r="A8" s="2" t="s">
        <v>104</v>
      </c>
      <c r="B8" s="2" t="s">
        <v>65</v>
      </c>
      <c r="C8" s="2" t="s">
        <v>80</v>
      </c>
      <c r="D8" s="2">
        <v>18</v>
      </c>
      <c r="E8" s="2">
        <v>28</v>
      </c>
      <c r="F8" s="2">
        <v>4</v>
      </c>
      <c r="G8" s="2">
        <v>2</v>
      </c>
      <c r="H8" s="2">
        <v>40</v>
      </c>
      <c r="I8" s="2">
        <v>38</v>
      </c>
      <c r="J8" s="2" t="s">
        <v>78</v>
      </c>
      <c r="K8" s="2" t="s">
        <v>101</v>
      </c>
      <c r="L8" s="2" t="s">
        <v>60</v>
      </c>
      <c r="M8" s="2">
        <v>4</v>
      </c>
      <c r="N8" s="2">
        <v>3875</v>
      </c>
      <c r="O8" s="2">
        <v>15</v>
      </c>
      <c r="P8" s="2">
        <v>8</v>
      </c>
      <c r="Q8" s="2" t="s">
        <v>55</v>
      </c>
      <c r="R8" s="2" t="s">
        <v>100</v>
      </c>
      <c r="S8" s="2" t="s">
        <v>60</v>
      </c>
      <c r="T8" s="2">
        <v>4</v>
      </c>
      <c r="U8" s="2">
        <v>3875</v>
      </c>
      <c r="V8" s="2">
        <v>15</v>
      </c>
      <c r="W8" s="2">
        <v>8</v>
      </c>
      <c r="X8" s="2" t="str">
        <f>X6</f>
        <v>ODE (14.10)</v>
      </c>
      <c r="Y8" s="2" t="s">
        <v>97</v>
      </c>
      <c r="Z8" s="2" t="s">
        <v>60</v>
      </c>
      <c r="AA8" s="2">
        <v>4</v>
      </c>
      <c r="AB8" s="2">
        <v>3875</v>
      </c>
      <c r="AC8" s="2">
        <v>15</v>
      </c>
      <c r="AD8" s="2">
        <v>8</v>
      </c>
      <c r="AE8" s="2" t="str">
        <f>AE6</f>
        <v>MDE (14.10)</v>
      </c>
    </row>
    <row r="9" spans="1:52" ht="182.5" thickBot="1" x14ac:dyDescent="0.4">
      <c r="A9" s="2" t="s">
        <v>107</v>
      </c>
      <c r="B9" s="2" t="s">
        <v>65</v>
      </c>
      <c r="C9" s="2" t="s">
        <v>80</v>
      </c>
      <c r="D9" s="2">
        <v>33</v>
      </c>
      <c r="E9" s="2">
        <v>43</v>
      </c>
      <c r="F9" s="2">
        <v>4</v>
      </c>
      <c r="G9" s="2">
        <v>2</v>
      </c>
      <c r="H9" s="2">
        <v>40</v>
      </c>
      <c r="I9" s="2">
        <v>38</v>
      </c>
      <c r="J9" s="2" t="s">
        <v>79</v>
      </c>
      <c r="K9" s="2" t="str">
        <f>K8</f>
        <v>C:\Users\RiveroI\OneDrive - AECOM\EC_PTUS_OLN_60725426 - COSBURN ST (CAT 3 check)\01_Calc\SAP2000\Section 14.10 TOC\Results\14.10 Reduced_EI_Roof slab_Columns areas_ULS.xlsx</v>
      </c>
      <c r="L9" s="2" t="str">
        <f t="shared" si="0"/>
        <v>Element Forces - Area Shells</v>
      </c>
      <c r="M9" s="2">
        <f>M8</f>
        <v>4</v>
      </c>
      <c r="N9" s="2">
        <f>N8</f>
        <v>3875</v>
      </c>
      <c r="O9" s="2">
        <f>O8+1</f>
        <v>16</v>
      </c>
      <c r="P9" s="2">
        <f>P8+1</f>
        <v>9</v>
      </c>
      <c r="Q9" s="2" t="str">
        <f t="shared" ref="Q9:S9" si="6">Q8</f>
        <v>ULS (14.10)</v>
      </c>
      <c r="R9" s="2" t="str">
        <f t="shared" si="6"/>
        <v>C:\Users\RiveroI\OneDrive - AECOM\EC_PTUS_OLN_60725426 - COSBURN ST (CAT 3 check)\01_Calc\SAP2000\Section 14.10 TOC\Results\14.10 Reduced_EI_Roof slab_Columns areas_ODE.xlsx</v>
      </c>
      <c r="S9" s="2" t="str">
        <f t="shared" si="6"/>
        <v>Element Forces - Area Shells</v>
      </c>
      <c r="T9" s="2">
        <f>T8</f>
        <v>4</v>
      </c>
      <c r="U9" s="2">
        <f>U8</f>
        <v>3875</v>
      </c>
      <c r="V9" s="2">
        <f>V8+1</f>
        <v>16</v>
      </c>
      <c r="W9" s="2">
        <f>W8+1</f>
        <v>9</v>
      </c>
      <c r="X9" s="2" t="str">
        <f t="shared" ref="X9:Z9" si="7">X8</f>
        <v>ODE (14.10)</v>
      </c>
      <c r="Y9" s="2" t="str">
        <f t="shared" si="7"/>
        <v>C:\Users\RiveroI\OneDrive - AECOM\EC_PTUS_OLN_60725426 - COSBURN ST (CAT 3 check)\01_Calc\SAP2000\Section 14.10 TOC\Results\14.10 Reduced_EI_Roof slab_Columns area_MDE.xlsx</v>
      </c>
      <c r="Z9" s="2" t="str">
        <f t="shared" si="7"/>
        <v>Element Forces - Area Shells</v>
      </c>
      <c r="AA9" s="2">
        <f>AA8</f>
        <v>4</v>
      </c>
      <c r="AB9" s="2">
        <f>AB8</f>
        <v>3875</v>
      </c>
      <c r="AC9" s="2">
        <f>AC8+1</f>
        <v>16</v>
      </c>
      <c r="AD9" s="2">
        <f>AD8+1</f>
        <v>9</v>
      </c>
      <c r="AE9" s="2" t="str">
        <f>AE8</f>
        <v>MDE (14.10)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AA84A-8494-4B70-8360-6E047CF2F70D}">
  <dimension ref="A1:AE12"/>
  <sheetViews>
    <sheetView zoomScale="10" zoomScaleNormal="10" workbookViewId="0">
      <selection activeCell="A11" sqref="A11:AE12"/>
    </sheetView>
  </sheetViews>
  <sheetFormatPr defaultRowHeight="14.5" x14ac:dyDescent="0.35"/>
  <sheetData>
    <row r="1" spans="1:31" ht="378.5" thickBot="1" x14ac:dyDescent="0.4">
      <c r="A1" s="2" t="s">
        <v>70</v>
      </c>
      <c r="B1" s="2" t="s">
        <v>60</v>
      </c>
      <c r="C1" s="2">
        <v>4</v>
      </c>
      <c r="D1" s="2">
        <v>4931</v>
      </c>
      <c r="E1" s="2">
        <v>15</v>
      </c>
      <c r="F1" s="2">
        <v>8</v>
      </c>
      <c r="G1" s="2" t="s">
        <v>55</v>
      </c>
      <c r="H1" s="2" t="s">
        <v>71</v>
      </c>
      <c r="I1" s="2" t="s">
        <v>60</v>
      </c>
      <c r="J1" s="2">
        <v>4</v>
      </c>
      <c r="K1" s="2">
        <v>10243</v>
      </c>
      <c r="L1" s="2">
        <v>15</v>
      </c>
      <c r="M1" s="2">
        <v>8</v>
      </c>
      <c r="N1" s="2" t="s">
        <v>56</v>
      </c>
      <c r="O1" s="2" t="s">
        <v>72</v>
      </c>
      <c r="P1" s="2" t="s">
        <v>60</v>
      </c>
      <c r="Q1" s="2">
        <f>J1</f>
        <v>4</v>
      </c>
      <c r="R1" s="2">
        <f>K1</f>
        <v>10243</v>
      </c>
      <c r="S1" s="2">
        <f>L1</f>
        <v>15</v>
      </c>
      <c r="T1" s="2">
        <f>M1</f>
        <v>8</v>
      </c>
      <c r="U1" s="2" t="s">
        <v>57</v>
      </c>
    </row>
    <row r="2" spans="1:31" ht="378.5" thickBot="1" x14ac:dyDescent="0.4">
      <c r="A2" s="2" t="str">
        <f>A1</f>
        <v>C:\Users\RiveroI\OneDrive - AECOM\EC_PTUS_OLN_60725426 - COSBURN ST (CAT 3 check)\01_Calc\SAP2000\Section 14.10 TOC\Results\14.10 Reduced_EI_Base slab_ULS.xlsx</v>
      </c>
      <c r="B2" s="2" t="str">
        <f>B1</f>
        <v>Element Forces - Area Shells</v>
      </c>
      <c r="C2" s="2">
        <f>C1</f>
        <v>4</v>
      </c>
      <c r="D2" s="2">
        <f>D1</f>
        <v>4931</v>
      </c>
      <c r="E2" s="2">
        <f>E1+1</f>
        <v>16</v>
      </c>
      <c r="F2" s="2">
        <f>F1+1</f>
        <v>9</v>
      </c>
      <c r="G2" s="2" t="str">
        <f>G1</f>
        <v>ULS (14.10)</v>
      </c>
      <c r="H2" s="2" t="str">
        <f>H1</f>
        <v>C:\Users\RiveroI\OneDrive - AECOM\EC_PTUS_OLN_60725426 - COSBURN ST (CAT 3 check)\01_Calc\SAP2000\Section 14.10 TOC\Results\14.10 Reduced_EI_Base slab_ODE.xlsx</v>
      </c>
      <c r="I2" s="2" t="str">
        <f>I1</f>
        <v>Element Forces - Area Shells</v>
      </c>
      <c r="J2" s="2">
        <f>J1</f>
        <v>4</v>
      </c>
      <c r="K2" s="2">
        <f>K1</f>
        <v>10243</v>
      </c>
      <c r="L2" s="2">
        <f>L1+1</f>
        <v>16</v>
      </c>
      <c r="M2" s="2">
        <f>M1+1</f>
        <v>9</v>
      </c>
      <c r="N2" s="2" t="str">
        <f>N1</f>
        <v>ODE (14.10)</v>
      </c>
      <c r="O2" s="2" t="str">
        <f>O1</f>
        <v>C:\Users\RiveroI\OneDrive - AECOM\EC_PTUS_OLN_60725426 - COSBURN ST (CAT 3 check)\01_Calc\SAP2000\Section 14.10 TOC\Results\14.10 Reduced_EI_Base slab_MDE.xlsx</v>
      </c>
      <c r="P2" s="2" t="str">
        <f>P1</f>
        <v>Element Forces - Area Shells</v>
      </c>
      <c r="Q2" s="2">
        <f>Q1</f>
        <v>4</v>
      </c>
      <c r="R2" s="2">
        <f>R1</f>
        <v>10243</v>
      </c>
      <c r="S2" s="2">
        <f>S1+1</f>
        <v>16</v>
      </c>
      <c r="T2" s="2">
        <f>T1+1</f>
        <v>9</v>
      </c>
      <c r="U2" s="2" t="str">
        <f>U1</f>
        <v>MDE (14.10)</v>
      </c>
    </row>
    <row r="3" spans="1:31" ht="378.5" thickBot="1" x14ac:dyDescent="0.4">
      <c r="A3" s="2" t="s">
        <v>70</v>
      </c>
      <c r="B3" s="2" t="s">
        <v>60</v>
      </c>
      <c r="C3" s="2">
        <v>4</v>
      </c>
      <c r="D3" s="2">
        <v>4931</v>
      </c>
      <c r="E3" s="2">
        <v>15</v>
      </c>
      <c r="F3" s="2">
        <v>8</v>
      </c>
      <c r="G3" s="2" t="s">
        <v>55</v>
      </c>
      <c r="H3" s="2" t="s">
        <v>71</v>
      </c>
      <c r="I3" s="2" t="s">
        <v>60</v>
      </c>
      <c r="J3" s="2">
        <v>4</v>
      </c>
      <c r="K3" s="2">
        <v>10243</v>
      </c>
      <c r="L3" s="2">
        <v>15</v>
      </c>
      <c r="M3" s="2">
        <v>8</v>
      </c>
      <c r="N3" s="2" t="s">
        <v>56</v>
      </c>
      <c r="O3" s="2" t="s">
        <v>72</v>
      </c>
      <c r="P3" s="2" t="s">
        <v>60</v>
      </c>
      <c r="Q3" s="2">
        <f>J3</f>
        <v>4</v>
      </c>
      <c r="R3" s="2">
        <f>K3</f>
        <v>10243</v>
      </c>
      <c r="S3" s="2">
        <f>L3</f>
        <v>15</v>
      </c>
      <c r="T3" s="2">
        <f>M3</f>
        <v>8</v>
      </c>
      <c r="U3" s="2" t="s">
        <v>57</v>
      </c>
    </row>
    <row r="4" spans="1:31" ht="378.5" thickBot="1" x14ac:dyDescent="0.4">
      <c r="A4" s="2" t="str">
        <f>A3</f>
        <v>C:\Users\RiveroI\OneDrive - AECOM\EC_PTUS_OLN_60725426 - COSBURN ST (CAT 3 check)\01_Calc\SAP2000\Section 14.10 TOC\Results\14.10 Reduced_EI_Base slab_ULS.xlsx</v>
      </c>
      <c r="B4" s="2" t="str">
        <f>B3</f>
        <v>Element Forces - Area Shells</v>
      </c>
      <c r="C4" s="2">
        <f>C3</f>
        <v>4</v>
      </c>
      <c r="D4" s="2">
        <f>D3</f>
        <v>4931</v>
      </c>
      <c r="E4" s="2">
        <f>E3+1</f>
        <v>16</v>
      </c>
      <c r="F4" s="2">
        <f>F3+1</f>
        <v>9</v>
      </c>
      <c r="G4" s="2" t="str">
        <f>G3</f>
        <v>ULS (14.10)</v>
      </c>
      <c r="H4" s="2" t="str">
        <f>H3</f>
        <v>C:\Users\RiveroI\OneDrive - AECOM\EC_PTUS_OLN_60725426 - COSBURN ST (CAT 3 check)\01_Calc\SAP2000\Section 14.10 TOC\Results\14.10 Reduced_EI_Base slab_ODE.xlsx</v>
      </c>
      <c r="I4" s="2" t="str">
        <f>I3</f>
        <v>Element Forces - Area Shells</v>
      </c>
      <c r="J4" s="2">
        <f>J3</f>
        <v>4</v>
      </c>
      <c r="K4" s="2">
        <f>K3</f>
        <v>10243</v>
      </c>
      <c r="L4" s="2">
        <f>L3+1</f>
        <v>16</v>
      </c>
      <c r="M4" s="2">
        <f>M3+1</f>
        <v>9</v>
      </c>
      <c r="N4" s="2" t="str">
        <f>N3</f>
        <v>ODE (14.10)</v>
      </c>
      <c r="O4" s="2" t="str">
        <f>O3</f>
        <v>C:\Users\RiveroI\OneDrive - AECOM\EC_PTUS_OLN_60725426 - COSBURN ST (CAT 3 check)\01_Calc\SAP2000\Section 14.10 TOC\Results\14.10 Reduced_EI_Base slab_MDE.xlsx</v>
      </c>
      <c r="P4" s="2" t="str">
        <f>P3</f>
        <v>Element Forces - Area Shells</v>
      </c>
      <c r="Q4" s="2">
        <f>Q3</f>
        <v>4</v>
      </c>
      <c r="R4" s="2">
        <f>R3</f>
        <v>10243</v>
      </c>
      <c r="S4" s="2">
        <f>S3+1</f>
        <v>16</v>
      </c>
      <c r="T4" s="2">
        <f>T3+1</f>
        <v>9</v>
      </c>
      <c r="U4" s="2" t="str">
        <f>U3</f>
        <v>MDE (14.10)</v>
      </c>
    </row>
    <row r="10" spans="1:31" ht="15" thickBot="1" x14ac:dyDescent="0.4"/>
    <row r="11" spans="1:31" ht="378.5" thickBot="1" x14ac:dyDescent="0.4">
      <c r="A11" s="2" t="s">
        <v>74</v>
      </c>
      <c r="B11" s="2" t="s">
        <v>58</v>
      </c>
      <c r="C11" s="2" t="s">
        <v>64</v>
      </c>
      <c r="D11" s="2">
        <v>3</v>
      </c>
      <c r="E11" s="2">
        <v>13</v>
      </c>
      <c r="F11" s="2">
        <v>4</v>
      </c>
      <c r="G11" s="2">
        <v>2</v>
      </c>
      <c r="H11" s="2">
        <v>40</v>
      </c>
      <c r="I11" s="2">
        <v>38</v>
      </c>
      <c r="J11" s="2" t="s">
        <v>59</v>
      </c>
      <c r="K11" s="2" t="s">
        <v>61</v>
      </c>
      <c r="L11" s="2" t="s">
        <v>60</v>
      </c>
      <c r="M11" s="2">
        <v>4</v>
      </c>
      <c r="N11" s="2">
        <v>9275</v>
      </c>
      <c r="O11" s="2">
        <v>15</v>
      </c>
      <c r="P11" s="2">
        <v>8</v>
      </c>
      <c r="Q11" s="2" t="s">
        <v>55</v>
      </c>
      <c r="R11" s="2" t="s">
        <v>62</v>
      </c>
      <c r="S11" s="2" t="s">
        <v>60</v>
      </c>
      <c r="T11" s="2">
        <v>4</v>
      </c>
      <c r="U11" s="2">
        <v>9283</v>
      </c>
      <c r="V11" s="2">
        <v>15</v>
      </c>
      <c r="W11" s="2">
        <v>8</v>
      </c>
      <c r="X11" s="2" t="s">
        <v>56</v>
      </c>
      <c r="Y11" s="2" t="s">
        <v>63</v>
      </c>
      <c r="Z11" s="2" t="s">
        <v>60</v>
      </c>
      <c r="AA11" s="2">
        <f>T11</f>
        <v>4</v>
      </c>
      <c r="AB11" s="2">
        <f>U11</f>
        <v>9283</v>
      </c>
      <c r="AC11" s="2">
        <f>V11</f>
        <v>15</v>
      </c>
      <c r="AD11" s="2">
        <f>W11</f>
        <v>8</v>
      </c>
      <c r="AE11" s="2" t="s">
        <v>57</v>
      </c>
    </row>
    <row r="12" spans="1:31" ht="378.5" thickBot="1" x14ac:dyDescent="0.4">
      <c r="A12" s="2" t="s">
        <v>75</v>
      </c>
      <c r="B12" s="2" t="str">
        <f>B11</f>
        <v>C:\Users\RiveroI\OneDrive - AECOM\EC_PTUS_OLN_60725426 - COSBURN ST (CAT 3 check)\01_Calc\SAP2000\Design sections\Walls N-M.xlsx</v>
      </c>
      <c r="C12" s="2" t="s">
        <v>73</v>
      </c>
      <c r="D12" s="2">
        <v>3</v>
      </c>
      <c r="E12" s="2">
        <v>13</v>
      </c>
      <c r="F12" s="2">
        <v>21</v>
      </c>
      <c r="G12" s="2">
        <v>20</v>
      </c>
      <c r="H12" s="2">
        <v>57</v>
      </c>
      <c r="I12" s="2">
        <v>56</v>
      </c>
      <c r="J12" s="2" t="str">
        <f>J11</f>
        <v>Walls Capacity</v>
      </c>
      <c r="K12" s="2" t="str">
        <f>K11</f>
        <v>C:\Users\RiveroI\OneDrive - AECOM\EC_PTUS_OLN_60725426 - COSBURN ST (CAT 3 check)\01_Calc\SAP2000\Section 14.10 TOC\Results\14.10 Reduced_EI_Wall X+_ULS.xlsx</v>
      </c>
      <c r="L12" s="2" t="str">
        <f>L11</f>
        <v>Element Forces - Area Shells</v>
      </c>
      <c r="M12" s="2">
        <f>M11</f>
        <v>4</v>
      </c>
      <c r="N12" s="2">
        <f>N11</f>
        <v>9275</v>
      </c>
      <c r="O12" s="2">
        <f>O11+1</f>
        <v>16</v>
      </c>
      <c r="P12" s="2">
        <f>P11+1</f>
        <v>9</v>
      </c>
      <c r="Q12" s="2" t="str">
        <f>Q11</f>
        <v>ULS (14.10)</v>
      </c>
      <c r="R12" s="2" t="str">
        <f>R11</f>
        <v>C:\Users\RiveroI\OneDrive - AECOM\EC_PTUS_OLN_60725426 - COSBURN ST (CAT 3 check)\01_Calc\SAP2000\Section 14.10 TOC\Results\14.10 Reduced_EI_Wall X+_ODE.xlsx</v>
      </c>
      <c r="S12" s="2" t="str">
        <f>S11</f>
        <v>Element Forces - Area Shells</v>
      </c>
      <c r="T12" s="2">
        <f>T11</f>
        <v>4</v>
      </c>
      <c r="U12" s="2">
        <f>U11</f>
        <v>9283</v>
      </c>
      <c r="V12" s="2">
        <f>V11+1</f>
        <v>16</v>
      </c>
      <c r="W12" s="2">
        <f>W11+1</f>
        <v>9</v>
      </c>
      <c r="X12" s="2" t="str">
        <f>X11</f>
        <v>ODE (14.10)</v>
      </c>
      <c r="Y12" s="2" t="str">
        <f>Y11</f>
        <v>C:\Users\RiveroI\OneDrive - AECOM\EC_PTUS_OLN_60725426 - COSBURN ST (CAT 3 check)\01_Calc\SAP2000\Section 14.10 TOC\Results\14.10 Reduced_EI_Wall X+_MDE.xlsx</v>
      </c>
      <c r="Z12" s="2" t="str">
        <f>Z11</f>
        <v>Element Forces - Area Shells</v>
      </c>
      <c r="AA12" s="2">
        <f>AA11</f>
        <v>4</v>
      </c>
      <c r="AB12" s="2">
        <f>AB11</f>
        <v>9283</v>
      </c>
      <c r="AC12" s="2">
        <f>AC11+1</f>
        <v>16</v>
      </c>
      <c r="AD12" s="2">
        <f>AD11+1</f>
        <v>9</v>
      </c>
      <c r="AE12" s="2" t="str">
        <f>AE11</f>
        <v>MDE (14.10)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21B64E865AF049B20A5C3366A924EB" ma:contentTypeVersion="13" ma:contentTypeDescription="Create a new document." ma:contentTypeScope="" ma:versionID="2db897fd7638951ede3161f8f25e5bd6">
  <xsd:schema xmlns:xsd="http://www.w3.org/2001/XMLSchema" xmlns:xs="http://www.w3.org/2001/XMLSchema" xmlns:p="http://schemas.microsoft.com/office/2006/metadata/properties" xmlns:ns2="0cecb452-595f-4b09-9a2b-5821f34c1115" xmlns:ns3="e71b708c-f31f-4bef-8390-69ad37fbb32e" targetNamespace="http://schemas.microsoft.com/office/2006/metadata/properties" ma:root="true" ma:fieldsID="baf91899a129946f5d55dff89d199a2d" ns2:_="" ns3:_="">
    <xsd:import namespace="0cecb452-595f-4b09-9a2b-5821f34c1115"/>
    <xsd:import namespace="e71b708c-f31f-4bef-8390-69ad37fbb3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cb452-595f-4b09-9a2b-5821f34c1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66aa50-2606-4bee-b14b-7e98c91f20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1b708c-f31f-4bef-8390-69ad37fbb3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034ae9-e890-46f2-b76b-2ab1a6db0394}" ma:internalName="TaxCatchAll" ma:showField="CatchAllData" ma:web="e71b708c-f31f-4bef-8390-69ad37fbb3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ecb452-595f-4b09-9a2b-5821f34c1115">
      <Terms xmlns="http://schemas.microsoft.com/office/infopath/2007/PartnerControls"/>
    </lcf76f155ced4ddcb4097134ff3c332f>
    <TaxCatchAll xmlns="e71b708c-f31f-4bef-8390-69ad37fbb32e" xsi:nil="true"/>
  </documentManagement>
</p:properties>
</file>

<file path=customXml/itemProps1.xml><?xml version="1.0" encoding="utf-8"?>
<ds:datastoreItem xmlns:ds="http://schemas.openxmlformats.org/officeDocument/2006/customXml" ds:itemID="{4D24F57B-DFCF-43C0-B401-87A55F7D8D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162F168-97EE-4196-B6E3-1A166BCC4696}"/>
</file>

<file path=customXml/itemProps3.xml><?xml version="1.0" encoding="utf-8"?>
<ds:datastoreItem xmlns:ds="http://schemas.openxmlformats.org/officeDocument/2006/customXml" ds:itemID="{3B23478B-584A-4990-A94B-09525ACC253E}">
  <ds:schemaRefs>
    <ds:schemaRef ds:uri="http://schemas.microsoft.com/office/2006/metadata/properties"/>
    <ds:schemaRef ds:uri="http://schemas.microsoft.com/office/infopath/2007/PartnerControls"/>
    <ds:schemaRef ds:uri="0cecb452-595f-4b09-9a2b-5821f34c1115"/>
    <ds:schemaRef ds:uri="e71b708c-f31f-4bef-8390-69ad37fbb32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TypicalSection</vt:lpstr>
      <vt:lpstr>Collar</vt:lpstr>
      <vt:lpstr>Door Frame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Rivero, Ignacio</dc:creator>
  <cp:lastModifiedBy>Rivero, Ignacio</cp:lastModifiedBy>
  <dcterms:created xsi:type="dcterms:W3CDTF">2015-06-05T18:17:20Z</dcterms:created>
  <dcterms:modified xsi:type="dcterms:W3CDTF">2026-04-27T12:21:24Z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0x0101004121B64E865AF049B20A5C3366A924EB</vt:lpwstr>
  </property>
  <property fmtid="{D5CDD505-2E9C-101B-9397-08002B2CF9AE}" pid="3" name="MediaServiceImageTags">
    <vt:lpwstr/>
  </property>
</Properties>
</file>