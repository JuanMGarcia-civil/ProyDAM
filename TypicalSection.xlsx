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ecom.sharepoint.com/sites/EC_OLN/Shared Documents/General/400_Technical/440_Ground Engineering/04_Bain Adit/03_SPREADSHEETS/Sections capacity/"/>
    </mc:Choice>
  </mc:AlternateContent>
  <xr:revisionPtr revIDLastSave="26" documentId="11_6C29626A1759473254BC012AF90B1AF2CCA0C7C3" xr6:coauthVersionLast="47" xr6:coauthVersionMax="47" xr10:uidLastSave="{F50D9BEA-A742-4336-B1DA-02655B52C3DE}"/>
  <bookViews>
    <workbookView xWindow="-110" yWindow="-110" windowWidth="19420" windowHeight="11500" activeTab="2" xr2:uid="{00000000-000D-0000-FFFF-FFFF00000000}"/>
  </bookViews>
  <sheets>
    <sheet name="10M-200" sheetId="1" r:id="rId1"/>
    <sheet name="15M-200" sheetId="2" r:id="rId2"/>
    <sheet name="25M-200" sheetId="3" r:id="rId3"/>
  </sheets>
  <externalReferences>
    <externalReference r:id="rId4"/>
  </externalReferences>
  <definedNames>
    <definedName name="UnitForce">IF(Units="US","kip","kN")</definedName>
    <definedName name="UnitLength">IF(Units="US","in","mm")</definedName>
    <definedName name="UnitMoment">IF(Units="US","kip-ft","kN-M")</definedName>
    <definedName name="Units">[1]Calculations!$AJ$10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J9" i="3"/>
  <c r="H9" i="3"/>
  <c r="G9" i="3"/>
  <c r="E9" i="3"/>
  <c r="D9" i="3"/>
  <c r="B9" i="3"/>
  <c r="A9" i="3"/>
  <c r="B4" i="3"/>
  <c r="J3" i="3"/>
  <c r="J1" i="3"/>
  <c r="A1" i="3"/>
  <c r="K9" i="2"/>
  <c r="J9" i="2"/>
  <c r="H9" i="2"/>
  <c r="G9" i="2"/>
  <c r="E9" i="2"/>
  <c r="D9" i="2"/>
  <c r="B9" i="2"/>
  <c r="A9" i="2"/>
  <c r="B4" i="2"/>
  <c r="J3" i="2"/>
  <c r="J1" i="2"/>
  <c r="A1" i="2"/>
  <c r="K9" i="1"/>
  <c r="J9" i="1"/>
  <c r="H9" i="1"/>
  <c r="G9" i="1"/>
  <c r="E9" i="1"/>
  <c r="D9" i="1"/>
  <c r="B9" i="1"/>
  <c r="A9" i="1"/>
  <c r="B4" i="1"/>
  <c r="J3" i="1"/>
  <c r="J1" i="1"/>
  <c r="A1" i="1"/>
</calcChain>
</file>

<file path=xl/sharedStrings.xml><?xml version="1.0" encoding="utf-8"?>
<sst xmlns="http://schemas.openxmlformats.org/spreadsheetml/2006/main" count="54" uniqueCount="14">
  <si>
    <t xml:space="preserve"> Project:</t>
  </si>
  <si>
    <t xml:space="preserve"> Engineer:</t>
  </si>
  <si>
    <t xml:space="preserve"> Date:</t>
  </si>
  <si>
    <t>ShortCol</t>
  </si>
  <si>
    <t xml:space="preserve"> Subject:</t>
  </si>
  <si>
    <t xml:space="preserve"> Checker:</t>
  </si>
  <si>
    <t>Axial Force/Moment Interaction Diagram</t>
  </si>
  <si>
    <r>
      <t>φP</t>
    </r>
    <r>
      <rPr>
        <vertAlign val="subscript"/>
        <sz val="10"/>
        <rFont val="Arial"/>
        <family val="2"/>
      </rPr>
      <t>n</t>
    </r>
  </si>
  <si>
    <r>
      <t>φM</t>
    </r>
    <r>
      <rPr>
        <vertAlign val="subscript"/>
        <sz val="10"/>
        <rFont val="Arial"/>
        <family val="2"/>
      </rPr>
      <t>ny</t>
    </r>
  </si>
  <si>
    <t>φ</t>
  </si>
  <si>
    <t>N/A from
compression face</t>
  </si>
  <si>
    <t>Cracked moment inertia Icr</t>
  </si>
  <si>
    <r>
      <t>φM</t>
    </r>
    <r>
      <rPr>
        <vertAlign val="subscript"/>
        <sz val="10"/>
        <rFont val="Arial"/>
        <family val="2"/>
      </rPr>
      <t>nz</t>
    </r>
  </si>
  <si>
    <t>N/A from
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</si>
</sst>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indexed="12"/>
      <name val="Tahoma"/>
      <family val="2"/>
    </font>
    <font>
      <sz val="12"/>
      <name val="Tahoma"/>
      <family val="2"/>
    </font>
    <font>
      <sz val="8"/>
      <name val="Arial"/>
      <family val="2"/>
    </font>
    <font>
      <sz val="10"/>
      <color indexed="12"/>
      <name val="Tahoma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0"/>
      <color indexed="12"/>
      <name val="Tahoma"/>
      <family val="2"/>
    </font>
    <font>
      <b/>
      <sz val="14"/>
      <name val="Franklin Gothic Book"/>
      <family val="2"/>
    </font>
    <font>
      <vertAlign val="subscript"/>
      <sz val="10"/>
      <name val="Arial"/>
      <family val="2"/>
    </font>
    <font>
      <sz val="12"/>
      <name val="Arial"/>
      <family val="2"/>
    </font>
    <font>
      <sz val="10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4" fillId="2" borderId="4" xfId="0" applyFont="1" applyFill="1" applyBorder="1" applyAlignment="1">
      <alignment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>
      <alignment vertical="center"/>
    </xf>
    <xf numFmtId="0" fontId="4" fillId="2" borderId="9" xfId="0" applyFont="1" applyFill="1" applyBorder="1" applyProtection="1">
      <protection locked="0"/>
    </xf>
    <xf numFmtId="0" fontId="4" fillId="2" borderId="9" xfId="0" applyFont="1" applyFill="1" applyBorder="1" applyAlignment="1">
      <alignment vertical="center"/>
    </xf>
    <xf numFmtId="164" fontId="5" fillId="2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10" xfId="0" quotePrefix="1" applyFont="1" applyFill="1" applyBorder="1" applyAlignment="1" applyProtection="1">
      <alignment horizontal="center" vertical="center"/>
      <protection locked="0"/>
    </xf>
    <xf numFmtId="0" fontId="8" fillId="3" borderId="11" xfId="0" applyFont="1" applyFill="1" applyBorder="1"/>
    <xf numFmtId="0" fontId="9" fillId="3" borderId="12" xfId="1" applyFont="1" applyFill="1" applyBorder="1" applyAlignment="1" applyProtection="1">
      <alignment horizontal="center"/>
    </xf>
    <xf numFmtId="0" fontId="10" fillId="3" borderId="13" xfId="0" applyFont="1" applyFill="1" applyBorder="1"/>
    <xf numFmtId="0" fontId="4" fillId="2" borderId="11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>
      <alignment vertical="center"/>
    </xf>
    <xf numFmtId="0" fontId="8" fillId="3" borderId="9" xfId="0" applyFont="1" applyFill="1" applyBorder="1"/>
    <xf numFmtId="0" fontId="9" fillId="3" borderId="7" xfId="0" applyFont="1" applyFill="1" applyBorder="1" applyAlignment="1">
      <alignment horizontal="center"/>
    </xf>
    <xf numFmtId="0" fontId="10" fillId="3" borderId="8" xfId="0" applyFont="1" applyFill="1" applyBorder="1"/>
    <xf numFmtId="0" fontId="4" fillId="2" borderId="15" xfId="0" applyFont="1" applyFill="1" applyBorder="1" applyProtection="1">
      <protection locked="0"/>
    </xf>
    <xf numFmtId="0" fontId="4" fillId="2" borderId="15" xfId="0" applyFont="1" applyFill="1" applyBorder="1" applyAlignment="1">
      <alignment vertical="center"/>
    </xf>
    <xf numFmtId="0" fontId="11" fillId="2" borderId="16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12" fillId="4" borderId="18" xfId="0" applyFont="1" applyFill="1" applyBorder="1" applyAlignment="1">
      <alignment horizontal="centerContinuous"/>
    </xf>
    <xf numFmtId="0" fontId="12" fillId="4" borderId="19" xfId="0" applyFont="1" applyFill="1" applyBorder="1" applyAlignment="1">
      <alignment horizontal="centerContinuous"/>
    </xf>
    <xf numFmtId="0" fontId="12" fillId="4" borderId="20" xfId="0" applyFont="1" applyFill="1" applyBorder="1" applyAlignment="1">
      <alignment horizontal="centerContinuous"/>
    </xf>
    <xf numFmtId="0" fontId="6" fillId="5" borderId="21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 wrapText="1"/>
    </xf>
    <xf numFmtId="0" fontId="15" fillId="5" borderId="21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0" fillId="5" borderId="22" xfId="0" applyFill="1" applyBorder="1"/>
    <xf numFmtId="0" fontId="15" fillId="5" borderId="22" xfId="0" applyFont="1" applyFill="1" applyBorder="1" applyAlignment="1">
      <alignment horizontal="center"/>
    </xf>
    <xf numFmtId="1" fontId="0" fillId="0" borderId="21" xfId="0" applyNumberFormat="1" applyBorder="1"/>
    <xf numFmtId="165" fontId="0" fillId="0" borderId="21" xfId="0" applyNumberFormat="1" applyBorder="1"/>
    <xf numFmtId="0" fontId="0" fillId="0" borderId="21" xfId="0" applyBorder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_TypicalSection_10M-200.xlsb" TargetMode="External"/><Relationship Id="rId1" Type="http://schemas.openxmlformats.org/officeDocument/2006/relationships/externalLinkPath" Target="ShortCol_TypicalSection_10M-20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4">
          <cell r="B4">
            <v>2021.04</v>
          </cell>
        </row>
      </sheetData>
      <sheetData sheetId="1"/>
      <sheetData sheetId="2"/>
      <sheetData sheetId="3"/>
      <sheetData sheetId="4"/>
      <sheetData sheetId="5"/>
      <sheetData sheetId="6">
        <row r="10">
          <cell r="AJ10" t="str">
            <v>SI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opLeftCell="A4" workbookViewId="0">
      <selection activeCell="L6" sqref="L6"/>
    </sheetView>
  </sheetViews>
  <sheetFormatPr defaultRowHeight="14.5" x14ac:dyDescent="0.35"/>
  <cols>
    <col min="1" max="2" width="7" customWidth="1"/>
    <col min="3" max="3" width="5.81640625" customWidth="1"/>
    <col min="4" max="4" width="7.36328125" customWidth="1"/>
    <col min="5" max="9" width="7" customWidth="1"/>
    <col min="10" max="10" width="8.453125" customWidth="1"/>
    <col min="11" max="12" width="7" customWidth="1"/>
  </cols>
  <sheetData>
    <row r="1" spans="1:11" x14ac:dyDescent="0.35">
      <c r="A1" s="35" t="str">
        <f>IF([1]Input!A1="","",[1]Input!A1)</f>
        <v/>
      </c>
      <c r="B1" s="36"/>
      <c r="C1" s="37"/>
      <c r="D1" s="1" t="s">
        <v>0</v>
      </c>
      <c r="E1" s="41"/>
      <c r="F1" s="36"/>
      <c r="G1" s="36"/>
      <c r="H1" s="36"/>
      <c r="I1" s="1" t="s">
        <v>1</v>
      </c>
      <c r="J1" s="2" t="str">
        <f>IF([1]Input!K1="","",[1]Input!K1)</f>
        <v/>
      </c>
      <c r="K1" s="3"/>
    </row>
    <row r="2" spans="1:11" x14ac:dyDescent="0.35">
      <c r="A2" s="38"/>
      <c r="B2" s="39"/>
      <c r="C2" s="40"/>
      <c r="D2" s="4"/>
      <c r="E2" s="39"/>
      <c r="F2" s="39"/>
      <c r="G2" s="39"/>
      <c r="H2" s="39"/>
      <c r="I2" s="5" t="s">
        <v>2</v>
      </c>
      <c r="J2" s="6"/>
      <c r="K2" s="7"/>
    </row>
    <row r="3" spans="1:11" x14ac:dyDescent="0.35">
      <c r="A3" s="8"/>
      <c r="B3" s="9" t="s">
        <v>3</v>
      </c>
      <c r="C3" s="10"/>
      <c r="D3" s="11" t="s">
        <v>4</v>
      </c>
      <c r="E3" s="42"/>
      <c r="F3" s="43"/>
      <c r="G3" s="43"/>
      <c r="H3" s="43"/>
      <c r="I3" s="11" t="s">
        <v>5</v>
      </c>
      <c r="J3" s="12" t="str">
        <f>IF([1]Input!K3="","",[1]Input!K3)</f>
        <v/>
      </c>
      <c r="K3" s="13"/>
    </row>
    <row r="4" spans="1:11" ht="15" thickBot="1" x14ac:dyDescent="0.4">
      <c r="A4" s="14"/>
      <c r="B4" s="15">
        <f>[1]Input!B4</f>
        <v>2021.04</v>
      </c>
      <c r="C4" s="16"/>
      <c r="D4" s="17"/>
      <c r="E4" s="44"/>
      <c r="F4" s="44"/>
      <c r="G4" s="44"/>
      <c r="H4" s="44"/>
      <c r="I4" s="18" t="s">
        <v>2</v>
      </c>
      <c r="J4" s="19"/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>
        <v>-360</v>
      </c>
      <c r="B10" s="32">
        <v>-4.500000000468563</v>
      </c>
      <c r="C10" s="33">
        <v>0.9</v>
      </c>
      <c r="D10" s="34">
        <v>1E-10</v>
      </c>
      <c r="E10" s="34">
        <v>73483221.124622062</v>
      </c>
      <c r="G10" s="32"/>
      <c r="H10" s="32"/>
      <c r="I10" s="33"/>
      <c r="J10" s="34"/>
      <c r="K10" s="34"/>
    </row>
    <row r="11" spans="1:11" x14ac:dyDescent="0.35">
      <c r="A11">
        <v>-108.10499510951956</v>
      </c>
      <c r="B11" s="32">
        <v>-47.396731486295792</v>
      </c>
      <c r="C11" s="33">
        <v>0.9</v>
      </c>
      <c r="D11" s="34">
        <v>11.745122746449313</v>
      </c>
      <c r="E11" s="34">
        <v>210212987.82548797</v>
      </c>
      <c r="G11" s="32"/>
      <c r="H11" s="32"/>
      <c r="I11" s="33"/>
      <c r="J11" s="34"/>
      <c r="K11" s="34"/>
    </row>
    <row r="12" spans="1:11" x14ac:dyDescent="0.35">
      <c r="A12">
        <v>143.79000977881628</v>
      </c>
      <c r="B12" s="32">
        <v>-87.923674233180051</v>
      </c>
      <c r="C12" s="33">
        <v>0.9</v>
      </c>
      <c r="D12" s="34">
        <v>23.490245492798628</v>
      </c>
      <c r="E12" s="34">
        <v>238229092.63608325</v>
      </c>
      <c r="G12" s="32"/>
      <c r="H12" s="32"/>
      <c r="I12" s="33"/>
      <c r="J12" s="34"/>
      <c r="K12" s="34"/>
    </row>
    <row r="13" spans="1:11" x14ac:dyDescent="0.35">
      <c r="A13">
        <v>395.68501466715202</v>
      </c>
      <c r="B13" s="32">
        <v>-126.08082824102812</v>
      </c>
      <c r="C13" s="33">
        <v>0.9</v>
      </c>
      <c r="D13" s="34">
        <v>35.235368239147945</v>
      </c>
      <c r="E13" s="34">
        <v>252371224.33264565</v>
      </c>
      <c r="G13" s="32"/>
      <c r="H13" s="32"/>
      <c r="I13" s="33"/>
      <c r="J13" s="34"/>
      <c r="K13" s="34"/>
    </row>
    <row r="14" spans="1:11" x14ac:dyDescent="0.35">
      <c r="A14">
        <v>666.55004146838951</v>
      </c>
      <c r="B14" s="32">
        <v>-163.76519570113007</v>
      </c>
      <c r="C14" s="33">
        <v>0.9</v>
      </c>
      <c r="D14" s="34">
        <v>46.980490985497255</v>
      </c>
      <c r="E14" s="34">
        <v>263791958.27119425</v>
      </c>
      <c r="G14" s="32"/>
      <c r="H14" s="32"/>
      <c r="I14" s="33"/>
      <c r="J14" s="34"/>
      <c r="K14" s="34"/>
    </row>
    <row r="15" spans="1:11" x14ac:dyDescent="0.35">
      <c r="A15">
        <v>1004.6510419739981</v>
      </c>
      <c r="B15" s="32">
        <v>-205.80337179263296</v>
      </c>
      <c r="C15" s="33">
        <v>0.9</v>
      </c>
      <c r="D15" s="34">
        <v>58.725613731846565</v>
      </c>
      <c r="E15" s="34">
        <v>276114326.19142824</v>
      </c>
      <c r="G15" s="32"/>
      <c r="H15" s="32"/>
      <c r="I15" s="33"/>
      <c r="J15" s="34"/>
      <c r="K15" s="34"/>
    </row>
    <row r="16" spans="1:11" x14ac:dyDescent="0.35">
      <c r="A16">
        <v>1314.0167106072236</v>
      </c>
      <c r="B16" s="32">
        <v>-242.59822595786133</v>
      </c>
      <c r="C16" s="33">
        <v>0.9</v>
      </c>
      <c r="D16" s="34">
        <v>70.470736478195874</v>
      </c>
      <c r="E16" s="34">
        <v>291228820.87332445</v>
      </c>
      <c r="G16" s="32"/>
      <c r="H16" s="32"/>
      <c r="I16" s="33"/>
      <c r="J16" s="34"/>
      <c r="K16" s="34"/>
    </row>
    <row r="17" spans="1:11" x14ac:dyDescent="0.35">
      <c r="A17">
        <v>1606.9621895990713</v>
      </c>
      <c r="B17" s="32">
        <v>-275.38127241991577</v>
      </c>
      <c r="C17" s="33">
        <v>0.9</v>
      </c>
      <c r="D17" s="34">
        <v>82.215859224545184</v>
      </c>
      <c r="E17" s="34">
        <v>308476724.29522324</v>
      </c>
      <c r="G17" s="32"/>
      <c r="H17" s="32"/>
      <c r="I17" s="33"/>
      <c r="J17" s="34"/>
      <c r="K17" s="34"/>
    </row>
    <row r="18" spans="1:11" x14ac:dyDescent="0.35">
      <c r="A18">
        <v>1876.2575500650523</v>
      </c>
      <c r="B18" s="32">
        <v>-303.42951829034718</v>
      </c>
      <c r="C18" s="33">
        <v>0.9</v>
      </c>
      <c r="D18" s="34">
        <v>93.960981970894494</v>
      </c>
      <c r="E18" s="34">
        <v>332788423.76947862</v>
      </c>
      <c r="G18" s="32"/>
      <c r="H18" s="32"/>
      <c r="I18" s="33"/>
      <c r="J18" s="34"/>
      <c r="K18" s="34"/>
    </row>
    <row r="19" spans="1:11" x14ac:dyDescent="0.35">
      <c r="A19">
        <v>2152.0986648471176</v>
      </c>
      <c r="B19" s="32">
        <v>-329.76255085335089</v>
      </c>
      <c r="C19" s="33">
        <v>0.9</v>
      </c>
      <c r="D19" s="34">
        <v>105.7061047172438</v>
      </c>
      <c r="E19" s="34">
        <v>363264922.25164235</v>
      </c>
      <c r="G19" s="32"/>
      <c r="H19" s="32"/>
      <c r="I19" s="33"/>
      <c r="J19" s="34"/>
      <c r="K19" s="34"/>
    </row>
    <row r="20" spans="1:11" x14ac:dyDescent="0.35">
      <c r="A20">
        <v>2423.1505576504419</v>
      </c>
      <c r="B20" s="32">
        <v>-353.24687247944428</v>
      </c>
      <c r="C20" s="33">
        <v>0.9</v>
      </c>
      <c r="D20" s="34">
        <v>117.45122746359311</v>
      </c>
      <c r="E20" s="34">
        <v>400807047.2890203</v>
      </c>
      <c r="G20" s="32"/>
      <c r="H20" s="32"/>
      <c r="I20" s="33"/>
      <c r="J20" s="34"/>
      <c r="K20" s="34"/>
    </row>
    <row r="21" spans="1:11" x14ac:dyDescent="0.35">
      <c r="A21">
        <v>2690.7193799237721</v>
      </c>
      <c r="B21" s="32">
        <v>-374.01309831350198</v>
      </c>
      <c r="C21" s="33">
        <v>0.9</v>
      </c>
      <c r="D21" s="34">
        <v>129.19635020994244</v>
      </c>
      <c r="E21" s="34">
        <v>446283938.75173199</v>
      </c>
      <c r="G21" s="32"/>
      <c r="H21" s="32"/>
      <c r="I21" s="33"/>
      <c r="J21" s="34"/>
      <c r="K21" s="34"/>
    </row>
    <row r="22" spans="1:11" x14ac:dyDescent="0.35">
      <c r="A22">
        <v>2955.6758992996042</v>
      </c>
      <c r="B22" s="32">
        <v>-392.14830511877375</v>
      </c>
      <c r="C22" s="33">
        <v>0.9</v>
      </c>
      <c r="D22" s="34">
        <v>140.94147295629176</v>
      </c>
      <c r="E22" s="34">
        <v>500545772.99958849</v>
      </c>
      <c r="G22" s="32"/>
      <c r="H22" s="32"/>
      <c r="I22" s="33"/>
      <c r="J22" s="34"/>
      <c r="K22" s="34"/>
    </row>
    <row r="23" spans="1:11" x14ac:dyDescent="0.35">
      <c r="A23">
        <v>3218.6229549081304</v>
      </c>
      <c r="B23" s="32">
        <v>-407.7127768082787</v>
      </c>
      <c r="C23" s="33">
        <v>0.9</v>
      </c>
      <c r="D23" s="34">
        <v>152.68659570264109</v>
      </c>
      <c r="E23" s="34">
        <v>564430811.58713341</v>
      </c>
      <c r="G23" s="32"/>
      <c r="H23" s="32"/>
      <c r="I23" s="33"/>
      <c r="J23" s="34"/>
      <c r="K23" s="34"/>
    </row>
    <row r="24" spans="1:11" x14ac:dyDescent="0.35">
      <c r="A24">
        <v>3479.9911461280594</v>
      </c>
      <c r="B24" s="32">
        <v>-420.74957331988759</v>
      </c>
      <c r="C24" s="33">
        <v>0.9</v>
      </c>
      <c r="D24" s="34">
        <v>164.43171844899041</v>
      </c>
      <c r="E24" s="34">
        <v>638769523.52899122</v>
      </c>
      <c r="G24" s="32"/>
      <c r="H24" s="32"/>
      <c r="I24" s="33"/>
      <c r="J24" s="34"/>
      <c r="K24" s="34"/>
    </row>
    <row r="25" spans="1:11" x14ac:dyDescent="0.35">
      <c r="A25">
        <v>3740.09624583711</v>
      </c>
      <c r="B25" s="32">
        <v>-431.29027194137251</v>
      </c>
      <c r="C25" s="33">
        <v>0.9</v>
      </c>
      <c r="D25" s="34">
        <v>176.17684119533973</v>
      </c>
      <c r="E25" s="34">
        <v>724387106.86874044</v>
      </c>
      <c r="G25" s="32"/>
      <c r="H25" s="32"/>
      <c r="I25" s="33"/>
      <c r="J25" s="34"/>
      <c r="K25" s="34"/>
    </row>
    <row r="26" spans="1:11" x14ac:dyDescent="0.35">
      <c r="A26">
        <v>4018.1451056057854</v>
      </c>
      <c r="B26" s="32">
        <v>-436.98730289953556</v>
      </c>
      <c r="C26" s="33">
        <v>0.9</v>
      </c>
      <c r="D26" s="34">
        <v>187.92196394168906</v>
      </c>
      <c r="E26" s="34">
        <v>822105090.62550843</v>
      </c>
      <c r="G26" s="32"/>
      <c r="H26" s="32"/>
      <c r="I26" s="33"/>
      <c r="J26" s="34"/>
      <c r="K26" s="34"/>
    </row>
    <row r="27" spans="1:11" x14ac:dyDescent="0.35">
      <c r="A27">
        <v>4301.7334912358547</v>
      </c>
      <c r="B27" s="32">
        <v>-439.43194410153797</v>
      </c>
      <c r="C27" s="33">
        <v>0.9</v>
      </c>
      <c r="D27" s="34">
        <v>199.66708668803838</v>
      </c>
      <c r="E27" s="34">
        <v>932742385.98381507</v>
      </c>
      <c r="G27" s="32"/>
      <c r="H27" s="32"/>
      <c r="I27" s="33"/>
      <c r="J27" s="34"/>
      <c r="K27" s="34"/>
    </row>
    <row r="28" spans="1:11" x14ac:dyDescent="0.35">
      <c r="A28">
        <v>4581.800390116844</v>
      </c>
      <c r="B28" s="32">
        <v>-439.78851550443045</v>
      </c>
      <c r="C28" s="33">
        <v>0.9</v>
      </c>
      <c r="D28" s="34">
        <v>211.41220943438771</v>
      </c>
      <c r="E28" s="34">
        <v>1057115995.6658309</v>
      </c>
      <c r="G28" s="32"/>
      <c r="H28" s="32"/>
      <c r="I28" s="33"/>
      <c r="J28" s="34"/>
      <c r="K28" s="34"/>
    </row>
    <row r="29" spans="1:11" x14ac:dyDescent="0.35">
      <c r="A29">
        <v>4858.9018264722927</v>
      </c>
      <c r="B29" s="32">
        <v>-438.01253517033001</v>
      </c>
      <c r="C29" s="33">
        <v>0.9</v>
      </c>
      <c r="D29" s="34">
        <v>223.15733218073703</v>
      </c>
      <c r="E29" s="34">
        <v>1196041504.4940515</v>
      </c>
      <c r="G29" s="32"/>
      <c r="H29" s="32"/>
      <c r="I29" s="33"/>
      <c r="J29" s="34"/>
      <c r="K29" s="34"/>
    </row>
    <row r="30" spans="1:11" x14ac:dyDescent="0.35">
      <c r="A30">
        <v>5129.6886152985962</v>
      </c>
      <c r="B30" s="32">
        <v>-433.68901711068685</v>
      </c>
      <c r="C30" s="33">
        <v>0.9</v>
      </c>
      <c r="D30" s="34">
        <v>234.90245492708635</v>
      </c>
      <c r="E30" s="34">
        <v>1350333426.0360475</v>
      </c>
      <c r="G30" s="32"/>
      <c r="H30" s="32"/>
      <c r="I30" s="33"/>
      <c r="J30" s="34"/>
      <c r="K30" s="34"/>
    </row>
    <row r="31" spans="1:11" x14ac:dyDescent="0.35">
      <c r="A31">
        <v>5398.0038098283667</v>
      </c>
      <c r="B31" s="32">
        <v>-427.13745011070364</v>
      </c>
      <c r="C31" s="33">
        <v>0.9</v>
      </c>
      <c r="D31" s="34">
        <v>246.64757767343568</v>
      </c>
      <c r="E31" s="34">
        <v>1520805452.2936482</v>
      </c>
      <c r="G31" s="32"/>
      <c r="H31" s="32"/>
      <c r="I31" s="33"/>
      <c r="J31" s="34"/>
      <c r="K31" s="34"/>
    </row>
    <row r="32" spans="1:11" x14ac:dyDescent="0.35">
      <c r="A32">
        <v>5664.8262598452811</v>
      </c>
      <c r="B32" s="32">
        <v>-418.40268743579134</v>
      </c>
      <c r="C32" s="33">
        <v>0.9</v>
      </c>
      <c r="D32" s="34">
        <v>258.392700419785</v>
      </c>
      <c r="E32" s="34">
        <v>1708270636.6653025</v>
      </c>
      <c r="G32" s="32"/>
      <c r="H32" s="32"/>
      <c r="I32" s="33"/>
      <c r="J32" s="34"/>
      <c r="K32" s="34"/>
    </row>
    <row r="33" spans="1:11" x14ac:dyDescent="0.35">
      <c r="A33">
        <v>5930.3506711553609</v>
      </c>
      <c r="B33" s="32">
        <v>-407.46039086019692</v>
      </c>
      <c r="C33" s="33">
        <v>0.9</v>
      </c>
      <c r="D33" s="34">
        <v>270.1378231661343</v>
      </c>
      <c r="E33" s="34">
        <v>1913541530.0985768</v>
      </c>
      <c r="G33" s="32"/>
      <c r="H33" s="32"/>
      <c r="I33" s="33"/>
      <c r="J33" s="34"/>
      <c r="K33" s="34"/>
    </row>
    <row r="34" spans="1:11" x14ac:dyDescent="0.35">
      <c r="A34">
        <v>6194.7392985969636</v>
      </c>
      <c r="B34" s="32">
        <v>-394.29027852912606</v>
      </c>
      <c r="C34" s="33">
        <v>0.9</v>
      </c>
      <c r="D34" s="34">
        <v>281.88294591248359</v>
      </c>
      <c r="E34" s="34">
        <v>2137430283.8334153</v>
      </c>
      <c r="G34" s="32"/>
      <c r="H34" s="32"/>
      <c r="I34" s="33"/>
      <c r="J34" s="34"/>
      <c r="K34" s="34"/>
    </row>
    <row r="35" spans="1:11" x14ac:dyDescent="0.35">
      <c r="A35">
        <v>6458.128436234304</v>
      </c>
      <c r="B35" s="32">
        <v>-378.8753136845516</v>
      </c>
      <c r="C35" s="33">
        <v>0.9</v>
      </c>
      <c r="D35" s="34">
        <v>293.62806865883289</v>
      </c>
      <c r="E35" s="34">
        <v>2380748727.9246988</v>
      </c>
      <c r="G35" s="32"/>
      <c r="H35" s="32"/>
      <c r="I35" s="33"/>
      <c r="J35" s="34"/>
      <c r="K35" s="34"/>
    </row>
    <row r="36" spans="1:11" x14ac:dyDescent="0.35">
      <c r="A36">
        <v>6720.6334098140305</v>
      </c>
      <c r="B36" s="32">
        <v>-361.20108060814289</v>
      </c>
      <c r="C36" s="33">
        <v>0.9</v>
      </c>
      <c r="D36" s="34">
        <v>305.37319140518218</v>
      </c>
      <c r="E36" s="34">
        <v>2600246951.108964</v>
      </c>
      <c r="G36" s="32"/>
      <c r="H36" s="32"/>
      <c r="I36" s="33"/>
      <c r="J36" s="34"/>
      <c r="K36" s="34"/>
    </row>
    <row r="37" spans="1:11" x14ac:dyDescent="0.35">
      <c r="A37">
        <v>6982.3524597869846</v>
      </c>
      <c r="B37" s="32">
        <v>-341.25529924354413</v>
      </c>
      <c r="C37" s="33">
        <v>0.9</v>
      </c>
      <c r="D37" s="34">
        <v>317.11831415153148</v>
      </c>
      <c r="E37" s="34">
        <v>2884825237.2801256</v>
      </c>
      <c r="G37" s="32"/>
      <c r="H37" s="32"/>
      <c r="I37" s="33"/>
      <c r="J37" s="34"/>
      <c r="K37" s="34"/>
    </row>
    <row r="38" spans="1:11" x14ac:dyDescent="0.35">
      <c r="A38">
        <v>7243.3697922538977</v>
      </c>
      <c r="B38" s="32">
        <v>-319.02744382816468</v>
      </c>
      <c r="C38" s="33">
        <v>0.9</v>
      </c>
      <c r="D38" s="34">
        <v>328.86343689788077</v>
      </c>
      <c r="E38" s="34">
        <v>3191269703.2568684</v>
      </c>
      <c r="G38" s="32"/>
      <c r="H38" s="32"/>
      <c r="I38" s="33"/>
      <c r="J38" s="34"/>
      <c r="K38" s="34"/>
    </row>
    <row r="39" spans="1:11" x14ac:dyDescent="0.35">
      <c r="A39">
        <v>7503.7579986809087</v>
      </c>
      <c r="B39" s="32">
        <v>-294.50844042873678</v>
      </c>
      <c r="C39" s="33">
        <v>0.9</v>
      </c>
      <c r="D39" s="34">
        <v>340.60855964423007</v>
      </c>
      <c r="E39" s="34">
        <v>3520391142.5314293</v>
      </c>
      <c r="G39" s="32"/>
      <c r="H39" s="32"/>
      <c r="I39" s="33"/>
      <c r="J39" s="34"/>
      <c r="K39" s="34"/>
    </row>
    <row r="40" spans="1:11" x14ac:dyDescent="0.35">
      <c r="A40">
        <v>7763.5800000000008</v>
      </c>
      <c r="B40" s="32">
        <v>-267.69042496999981</v>
      </c>
      <c r="C40" s="33">
        <v>0.9</v>
      </c>
      <c r="D40" s="34">
        <v>352.35368239047938</v>
      </c>
      <c r="E40" s="34">
        <v>3634484415.9325953</v>
      </c>
      <c r="G40" s="32"/>
      <c r="H40" s="32"/>
      <c r="I40" s="33"/>
      <c r="J40" s="34"/>
      <c r="K40" s="34"/>
    </row>
    <row r="41" spans="1:11" x14ac:dyDescent="0.35">
      <c r="A41">
        <v>7763.5800000000008</v>
      </c>
      <c r="B41" s="32">
        <v>0</v>
      </c>
      <c r="C41" s="33">
        <v>0.9</v>
      </c>
      <c r="D41" s="34"/>
      <c r="E41" s="34"/>
      <c r="G41" s="32"/>
      <c r="H41" s="32"/>
      <c r="I41" s="33"/>
      <c r="J41" s="34"/>
      <c r="K41" s="34"/>
    </row>
    <row r="42" spans="1:11" x14ac:dyDescent="0.35">
      <c r="A42">
        <v>0</v>
      </c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>
        <v>-360</v>
      </c>
      <c r="B43" s="32">
        <v>-4.499999999531437</v>
      </c>
      <c r="C43" s="33">
        <v>0.9</v>
      </c>
      <c r="D43" s="34">
        <v>1E-10</v>
      </c>
      <c r="E43" s="34">
        <v>73483221.123529688</v>
      </c>
      <c r="G43" s="32"/>
      <c r="H43" s="32"/>
      <c r="I43" s="33"/>
      <c r="J43" s="34"/>
      <c r="K43" s="34"/>
    </row>
    <row r="44" spans="1:11" x14ac:dyDescent="0.35">
      <c r="A44">
        <v>-108.2920846451707</v>
      </c>
      <c r="B44" s="32">
        <v>38.365750272953697</v>
      </c>
      <c r="C44" s="33">
        <v>0.9</v>
      </c>
      <c r="D44" s="34">
        <v>11.736399312009818</v>
      </c>
      <c r="E44" s="34">
        <v>176190466.9087179</v>
      </c>
      <c r="G44" s="32"/>
      <c r="H44" s="32"/>
      <c r="I44" s="33"/>
      <c r="J44" s="34"/>
      <c r="K44" s="34"/>
    </row>
    <row r="45" spans="1:11" x14ac:dyDescent="0.35">
      <c r="A45">
        <v>143.41583070751412</v>
      </c>
      <c r="B45" s="32">
        <v>78.865230717289549</v>
      </c>
      <c r="C45" s="33">
        <v>0.9</v>
      </c>
      <c r="D45" s="34">
        <v>23.472798623919637</v>
      </c>
      <c r="E45" s="34">
        <v>197473899.67677251</v>
      </c>
      <c r="G45" s="32"/>
      <c r="H45" s="32"/>
      <c r="I45" s="33"/>
      <c r="J45" s="34"/>
      <c r="K45" s="34"/>
    </row>
    <row r="46" spans="1:11" x14ac:dyDescent="0.35">
      <c r="A46">
        <v>461.70120901165711</v>
      </c>
      <c r="B46" s="32">
        <v>125.3206242023151</v>
      </c>
      <c r="C46" s="33">
        <v>0.9</v>
      </c>
      <c r="D46" s="34">
        <v>35.209197935829451</v>
      </c>
      <c r="E46" s="34">
        <v>208733244.46893641</v>
      </c>
      <c r="G46" s="32"/>
      <c r="H46" s="32"/>
      <c r="I46" s="33"/>
      <c r="J46" s="34"/>
      <c r="K46" s="34"/>
    </row>
    <row r="47" spans="1:11" x14ac:dyDescent="0.35">
      <c r="A47">
        <v>809.26475862627285</v>
      </c>
      <c r="B47" s="32">
        <v>173.06951927290723</v>
      </c>
      <c r="C47" s="33">
        <v>0.9</v>
      </c>
      <c r="D47" s="34">
        <v>46.945597247739272</v>
      </c>
      <c r="E47" s="34">
        <v>218546407.24064377</v>
      </c>
      <c r="G47" s="32"/>
      <c r="H47" s="32"/>
      <c r="I47" s="33"/>
      <c r="J47" s="34"/>
      <c r="K47" s="34"/>
    </row>
    <row r="48" spans="1:11" x14ac:dyDescent="0.35">
      <c r="A48">
        <v>1118.4860545361817</v>
      </c>
      <c r="B48" s="32">
        <v>213.65936280216843</v>
      </c>
      <c r="C48" s="33">
        <v>0.9</v>
      </c>
      <c r="D48" s="34">
        <v>58.681996559649093</v>
      </c>
      <c r="E48" s="34">
        <v>229204856.57188433</v>
      </c>
      <c r="G48" s="32"/>
      <c r="H48" s="32"/>
      <c r="I48" s="33"/>
      <c r="J48" s="34"/>
      <c r="K48" s="34"/>
    </row>
    <row r="49" spans="1:11" x14ac:dyDescent="0.35">
      <c r="A49">
        <v>1395.14872359371</v>
      </c>
      <c r="B49" s="32">
        <v>247.81310814663954</v>
      </c>
      <c r="C49" s="33">
        <v>0.9</v>
      </c>
      <c r="D49" s="34">
        <v>70.418395871558914</v>
      </c>
      <c r="E49" s="34">
        <v>243507488.29021698</v>
      </c>
      <c r="G49" s="32"/>
      <c r="H49" s="32"/>
      <c r="I49" s="33"/>
      <c r="J49" s="34"/>
      <c r="K49" s="34"/>
    </row>
    <row r="50" spans="1:11" x14ac:dyDescent="0.35">
      <c r="A50">
        <v>1674.2439630212962</v>
      </c>
      <c r="B50" s="32">
        <v>279.90465495912525</v>
      </c>
      <c r="C50" s="33">
        <v>0.9</v>
      </c>
      <c r="D50" s="34">
        <v>82.154795183468735</v>
      </c>
      <c r="E50" s="34">
        <v>262111545.70362931</v>
      </c>
      <c r="G50" s="32"/>
      <c r="H50" s="32"/>
      <c r="I50" s="33"/>
      <c r="J50" s="34"/>
      <c r="K50" s="34"/>
    </row>
    <row r="51" spans="1:11" x14ac:dyDescent="0.35">
      <c r="A51">
        <v>1946.4923714301647</v>
      </c>
      <c r="B51" s="32">
        <v>308.77407806602878</v>
      </c>
      <c r="C51" s="33">
        <v>0.9</v>
      </c>
      <c r="D51" s="34">
        <v>93.891194495378556</v>
      </c>
      <c r="E51" s="34">
        <v>286019981.41662765</v>
      </c>
      <c r="G51" s="32"/>
      <c r="H51" s="32"/>
      <c r="I51" s="33"/>
      <c r="J51" s="34"/>
      <c r="K51" s="34"/>
    </row>
    <row r="52" spans="1:11" x14ac:dyDescent="0.35">
      <c r="A52">
        <v>2214.1762258265517</v>
      </c>
      <c r="B52" s="32">
        <v>334.70666209312952</v>
      </c>
      <c r="C52" s="33">
        <v>0.9</v>
      </c>
      <c r="D52" s="34">
        <v>105.62759380728838</v>
      </c>
      <c r="E52" s="34">
        <v>316153375.36391556</v>
      </c>
      <c r="G52" s="32"/>
      <c r="H52" s="32"/>
      <c r="I52" s="33"/>
      <c r="J52" s="34"/>
      <c r="K52" s="34"/>
    </row>
    <row r="53" spans="1:11" x14ac:dyDescent="0.35">
      <c r="A53">
        <v>2478.6648924142005</v>
      </c>
      <c r="B53" s="32">
        <v>357.87357781589549</v>
      </c>
      <c r="C53" s="33">
        <v>0.9</v>
      </c>
      <c r="D53" s="34">
        <v>117.3639931191982</v>
      </c>
      <c r="E53" s="34">
        <v>353389339.63454771</v>
      </c>
      <c r="G53" s="32"/>
      <c r="H53" s="32"/>
      <c r="I53" s="33"/>
      <c r="J53" s="34"/>
      <c r="K53" s="34"/>
    </row>
    <row r="54" spans="1:11" x14ac:dyDescent="0.35">
      <c r="A54">
        <v>2740.8297860500397</v>
      </c>
      <c r="B54" s="32">
        <v>378.38375209144272</v>
      </c>
      <c r="C54" s="33">
        <v>0.9</v>
      </c>
      <c r="D54" s="34">
        <v>129.10039243110802</v>
      </c>
      <c r="E54" s="34">
        <v>398581278.27488905</v>
      </c>
      <c r="G54" s="32"/>
      <c r="H54" s="32"/>
      <c r="I54" s="33"/>
      <c r="J54" s="34"/>
      <c r="K54" s="34"/>
    </row>
    <row r="55" spans="1:11" x14ac:dyDescent="0.35">
      <c r="A55">
        <v>3001.2518499720222</v>
      </c>
      <c r="B55" s="32">
        <v>396.3098028245152</v>
      </c>
      <c r="C55" s="33">
        <v>0.9</v>
      </c>
      <c r="D55" s="34">
        <v>140.83679174301784</v>
      </c>
      <c r="E55" s="34">
        <v>452568107.75082141</v>
      </c>
      <c r="G55" s="32"/>
      <c r="H55" s="32"/>
      <c r="I55" s="33"/>
      <c r="J55" s="34"/>
      <c r="K55" s="34"/>
    </row>
    <row r="56" spans="1:11" x14ac:dyDescent="0.35">
      <c r="A56">
        <v>3258.8153995870466</v>
      </c>
      <c r="B56" s="32">
        <v>411.51226944097544</v>
      </c>
      <c r="C56" s="33">
        <v>0.9</v>
      </c>
      <c r="D56" s="34">
        <v>152.57319105492766</v>
      </c>
      <c r="E56" s="34">
        <v>516179641.82274014</v>
      </c>
      <c r="G56" s="32"/>
      <c r="H56" s="32"/>
      <c r="I56" s="33"/>
      <c r="J56" s="34"/>
      <c r="K56" s="34"/>
    </row>
    <row r="57" spans="1:11" x14ac:dyDescent="0.35">
      <c r="A57">
        <v>3510.5233149397309</v>
      </c>
      <c r="B57" s="32">
        <v>423.61651194640069</v>
      </c>
      <c r="C57" s="33">
        <v>0.9</v>
      </c>
      <c r="D57" s="34">
        <v>164.30959036683748</v>
      </c>
      <c r="E57" s="34">
        <v>590239740.81192517</v>
      </c>
      <c r="G57" s="32"/>
      <c r="H57" s="32"/>
      <c r="I57" s="33"/>
      <c r="J57" s="34"/>
      <c r="K57" s="34"/>
    </row>
    <row r="58" spans="1:11" x14ac:dyDescent="0.35">
      <c r="A58">
        <v>3790.4664395380619</v>
      </c>
      <c r="B58" s="32">
        <v>430.53096369901874</v>
      </c>
      <c r="C58" s="33">
        <v>0.9</v>
      </c>
      <c r="D58" s="34">
        <v>176.0459896787473</v>
      </c>
      <c r="E58" s="34">
        <v>675568238.01743364</v>
      </c>
      <c r="G58" s="32"/>
      <c r="H58" s="32"/>
      <c r="I58" s="33"/>
      <c r="J58" s="34"/>
      <c r="K58" s="34"/>
    </row>
    <row r="59" spans="1:11" x14ac:dyDescent="0.35">
      <c r="A59">
        <v>4068.5346543128794</v>
      </c>
      <c r="B59" s="32">
        <v>435.26663660574553</v>
      </c>
      <c r="C59" s="33">
        <v>0.9</v>
      </c>
      <c r="D59" s="34">
        <v>187.78238899065713</v>
      </c>
      <c r="E59" s="34">
        <v>772982163.57842231</v>
      </c>
      <c r="G59" s="32"/>
      <c r="H59" s="32"/>
      <c r="I59" s="33"/>
      <c r="J59" s="34"/>
      <c r="K59" s="34"/>
    </row>
    <row r="60" spans="1:11" x14ac:dyDescent="0.35">
      <c r="A60">
        <v>4343.501657390977</v>
      </c>
      <c r="B60" s="32">
        <v>437.9461608539018</v>
      </c>
      <c r="C60" s="33">
        <v>0.9</v>
      </c>
      <c r="D60" s="34">
        <v>199.51878830256695</v>
      </c>
      <c r="E60" s="34">
        <v>883296547.57496154</v>
      </c>
      <c r="G60" s="32"/>
      <c r="H60" s="32"/>
      <c r="I60" s="33"/>
      <c r="J60" s="34"/>
      <c r="K60" s="34"/>
    </row>
    <row r="61" spans="1:11" x14ac:dyDescent="0.35">
      <c r="A61">
        <v>4615.8843173884734</v>
      </c>
      <c r="B61" s="32">
        <v>438.51784958187557</v>
      </c>
      <c r="C61" s="33">
        <v>0.9</v>
      </c>
      <c r="D61" s="34">
        <v>211.25518761447677</v>
      </c>
      <c r="E61" s="34">
        <v>1007324961.9876406</v>
      </c>
      <c r="G61" s="32"/>
      <c r="H61" s="32"/>
      <c r="I61" s="33"/>
      <c r="J61" s="34"/>
      <c r="K61" s="34"/>
    </row>
    <row r="62" spans="1:11" x14ac:dyDescent="0.35">
      <c r="A62">
        <v>4886.0906884759934</v>
      </c>
      <c r="B62" s="32">
        <v>436.9408973726047</v>
      </c>
      <c r="C62" s="33">
        <v>0.9</v>
      </c>
      <c r="D62" s="34">
        <v>222.99158692638659</v>
      </c>
      <c r="E62" s="34">
        <v>1145879895.4897859</v>
      </c>
      <c r="G62" s="32"/>
      <c r="H62" s="32"/>
      <c r="I62" s="33"/>
      <c r="J62" s="34"/>
      <c r="K62" s="34"/>
    </row>
    <row r="63" spans="1:11" x14ac:dyDescent="0.35">
      <c r="A63">
        <v>5154.447213990029</v>
      </c>
      <c r="B63" s="32">
        <v>433.18265989243946</v>
      </c>
      <c r="C63" s="33">
        <v>0.9</v>
      </c>
      <c r="D63" s="34">
        <v>234.72798623829641</v>
      </c>
      <c r="E63" s="34">
        <v>1299773018.2874997</v>
      </c>
      <c r="G63" s="32"/>
      <c r="H63" s="32"/>
      <c r="I63" s="33"/>
      <c r="J63" s="34"/>
      <c r="K63" s="34"/>
    </row>
    <row r="64" spans="1:11" x14ac:dyDescent="0.35">
      <c r="A64">
        <v>5421.2181575839368</v>
      </c>
      <c r="B64" s="32">
        <v>427.21671077604469</v>
      </c>
      <c r="C64" s="33">
        <v>0.9</v>
      </c>
      <c r="D64" s="34">
        <v>246.46438555020623</v>
      </c>
      <c r="E64" s="34">
        <v>1469815372.8858454</v>
      </c>
      <c r="G64" s="32"/>
      <c r="H64" s="32"/>
      <c r="I64" s="33"/>
      <c r="J64" s="34"/>
      <c r="K64" s="34"/>
    </row>
    <row r="65" spans="1:11" x14ac:dyDescent="0.35">
      <c r="A65">
        <v>5686.6197349740969</v>
      </c>
      <c r="B65" s="32">
        <v>419.02142845178179</v>
      </c>
      <c r="C65" s="33">
        <v>0.9</v>
      </c>
      <c r="D65" s="34">
        <v>258.20078486211605</v>
      </c>
      <c r="E65" s="34">
        <v>1656817513.8755291</v>
      </c>
      <c r="G65" s="32"/>
      <c r="H65" s="32"/>
      <c r="I65" s="33"/>
      <c r="J65" s="34"/>
      <c r="K65" s="34"/>
    </row>
    <row r="66" spans="1:11" x14ac:dyDescent="0.35">
      <c r="A66">
        <v>5950.8305591436083</v>
      </c>
      <c r="B66" s="32">
        <v>408.57895162134156</v>
      </c>
      <c r="C66" s="33">
        <v>0.9</v>
      </c>
      <c r="D66" s="34">
        <v>269.93718417402584</v>
      </c>
      <c r="E66" s="34">
        <v>1861589611.9564717</v>
      </c>
      <c r="G66" s="32"/>
      <c r="H66" s="32"/>
      <c r="I66" s="33"/>
      <c r="J66" s="34"/>
      <c r="K66" s="34"/>
    </row>
    <row r="67" spans="1:11" x14ac:dyDescent="0.35">
      <c r="A67">
        <v>6213.9994742450499</v>
      </c>
      <c r="B67" s="32">
        <v>395.8743958694655</v>
      </c>
      <c r="C67" s="33">
        <v>0.9</v>
      </c>
      <c r="D67" s="34">
        <v>281.67358348593564</v>
      </c>
      <c r="E67" s="34">
        <v>2047939723.4051068</v>
      </c>
      <c r="G67" s="32"/>
      <c r="H67" s="32"/>
      <c r="I67" s="33"/>
      <c r="J67" s="34"/>
      <c r="K67" s="34"/>
    </row>
    <row r="68" spans="1:11" x14ac:dyDescent="0.35">
      <c r="A68">
        <v>6476.2515093665916</v>
      </c>
      <c r="B68" s="32">
        <v>380.8952582873369</v>
      </c>
      <c r="C68" s="33">
        <v>0.9</v>
      </c>
      <c r="D68" s="34">
        <v>293.40998279784543</v>
      </c>
      <c r="E68" s="34">
        <v>2290649380.2187953</v>
      </c>
      <c r="G68" s="32"/>
      <c r="H68" s="32"/>
      <c r="I68" s="33"/>
      <c r="J68" s="34"/>
      <c r="K68" s="34"/>
    </row>
    <row r="69" spans="1:11" x14ac:dyDescent="0.35">
      <c r="A69">
        <v>6737.6924583520668</v>
      </c>
      <c r="B69" s="32">
        <v>363.63095949057242</v>
      </c>
      <c r="C69" s="33">
        <v>0.9</v>
      </c>
      <c r="D69" s="34">
        <v>305.14638210975522</v>
      </c>
      <c r="E69" s="34">
        <v>2553560287.2525663</v>
      </c>
      <c r="G69" s="32"/>
      <c r="H69" s="32"/>
      <c r="I69" s="33"/>
      <c r="J69" s="34"/>
      <c r="K69" s="34"/>
    </row>
    <row r="70" spans="1:11" x14ac:dyDescent="0.35">
      <c r="A70">
        <v>6998.4124418832625</v>
      </c>
      <c r="B70" s="32">
        <v>344.07248741099346</v>
      </c>
      <c r="C70" s="33">
        <v>0.9</v>
      </c>
      <c r="D70" s="34">
        <v>316.88278142166502</v>
      </c>
      <c r="E70" s="34">
        <v>2837481442.8578453</v>
      </c>
      <c r="G70" s="32"/>
      <c r="H70" s="32"/>
      <c r="I70" s="33"/>
      <c r="J70" s="34"/>
      <c r="K70" s="34"/>
    </row>
    <row r="71" spans="1:11" x14ac:dyDescent="0.35">
      <c r="A71">
        <v>7258.4887062588487</v>
      </c>
      <c r="B71" s="32">
        <v>322.21211741873276</v>
      </c>
      <c r="C71" s="33">
        <v>0.9</v>
      </c>
      <c r="D71" s="34">
        <v>328.61918073357481</v>
      </c>
      <c r="E71" s="34">
        <v>3143221747.5987177</v>
      </c>
      <c r="G71" s="32"/>
      <c r="H71" s="32"/>
      <c r="I71" s="33"/>
      <c r="J71" s="34"/>
      <c r="K71" s="34"/>
    </row>
    <row r="72" spans="1:11" x14ac:dyDescent="0.35">
      <c r="A72">
        <v>7517.9878431156158</v>
      </c>
      <c r="B72" s="32">
        <v>298.04319035011156</v>
      </c>
      <c r="C72" s="33">
        <v>0.9</v>
      </c>
      <c r="D72" s="34">
        <v>340.3555800454846</v>
      </c>
      <c r="E72" s="34">
        <v>3471590020.8770542</v>
      </c>
      <c r="G72" s="32"/>
      <c r="H72" s="32"/>
      <c r="I72" s="33"/>
      <c r="J72" s="34"/>
      <c r="K72" s="34"/>
    </row>
    <row r="73" spans="1:11" x14ac:dyDescent="0.35">
      <c r="A73">
        <v>7763.5800000000008</v>
      </c>
      <c r="B73" s="32">
        <v>272.8986849301769</v>
      </c>
      <c r="C73" s="33">
        <v>0.9</v>
      </c>
      <c r="D73" s="34">
        <v>352.09197935729452</v>
      </c>
      <c r="E73" s="34">
        <v>3634484415.9325953</v>
      </c>
      <c r="G73" s="32"/>
      <c r="H73" s="32"/>
      <c r="I73" s="33"/>
      <c r="J73" s="34"/>
      <c r="K73" s="34"/>
    </row>
    <row r="74" spans="1:11" x14ac:dyDescent="0.35">
      <c r="A74">
        <v>7763.5800000000008</v>
      </c>
      <c r="B74" s="32">
        <v>0</v>
      </c>
      <c r="C74" s="33">
        <v>0.9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F8A6550A-E852-46CB-A5FA-CFEBCF6AB7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048-84AD-4459-AEF3-B8841ABBCEB5}">
  <dimension ref="A1:L76"/>
  <sheetViews>
    <sheetView topLeftCell="A29" workbookViewId="0">
      <selection activeCell="A42" sqref="A42"/>
    </sheetView>
  </sheetViews>
  <sheetFormatPr defaultRowHeight="14.5" x14ac:dyDescent="0.35"/>
  <cols>
    <col min="1" max="2" width="7" customWidth="1"/>
    <col min="3" max="3" width="5.81640625" customWidth="1"/>
    <col min="4" max="4" width="7.36328125" customWidth="1"/>
    <col min="5" max="9" width="7" customWidth="1"/>
    <col min="10" max="10" width="8.453125" customWidth="1"/>
    <col min="11" max="12" width="7" customWidth="1"/>
  </cols>
  <sheetData>
    <row r="1" spans="1:12" x14ac:dyDescent="0.35">
      <c r="A1" s="35" t="str">
        <f>IF([1]Input!A1="","",[1]Input!A1)</f>
        <v/>
      </c>
      <c r="B1" s="36"/>
      <c r="C1" s="37"/>
      <c r="D1" s="1" t="s">
        <v>0</v>
      </c>
      <c r="E1" s="41"/>
      <c r="F1" s="36"/>
      <c r="G1" s="36"/>
      <c r="H1" s="36"/>
      <c r="I1" s="1" t="s">
        <v>1</v>
      </c>
      <c r="J1" s="2" t="str">
        <f>IF([1]Input!K1="","",[1]Input!K1)</f>
        <v/>
      </c>
      <c r="K1" s="3"/>
    </row>
    <row r="2" spans="1:12" x14ac:dyDescent="0.35">
      <c r="A2" s="38"/>
      <c r="B2" s="39"/>
      <c r="C2" s="40"/>
      <c r="D2" s="4"/>
      <c r="E2" s="39"/>
      <c r="F2" s="39"/>
      <c r="G2" s="39"/>
      <c r="H2" s="39"/>
      <c r="I2" s="5" t="s">
        <v>2</v>
      </c>
      <c r="J2" s="6"/>
      <c r="K2" s="7"/>
    </row>
    <row r="3" spans="1:12" x14ac:dyDescent="0.35">
      <c r="A3" s="8"/>
      <c r="B3" s="9" t="s">
        <v>3</v>
      </c>
      <c r="C3" s="10"/>
      <c r="D3" s="11" t="s">
        <v>4</v>
      </c>
      <c r="E3" s="42"/>
      <c r="F3" s="43"/>
      <c r="G3" s="43"/>
      <c r="H3" s="43"/>
      <c r="I3" s="11" t="s">
        <v>5</v>
      </c>
      <c r="J3" s="12" t="str">
        <f>IF([1]Input!K3="","",[1]Input!K3)</f>
        <v/>
      </c>
      <c r="K3" s="13"/>
    </row>
    <row r="4" spans="1:12" ht="15" thickBot="1" x14ac:dyDescent="0.4">
      <c r="A4" s="14"/>
      <c r="B4" s="15">
        <f>[1]Input!B4</f>
        <v>2021.04</v>
      </c>
      <c r="C4" s="16"/>
      <c r="D4" s="17"/>
      <c r="E4" s="44"/>
      <c r="F4" s="44"/>
      <c r="G4" s="44"/>
      <c r="H4" s="44"/>
      <c r="I4" s="18" t="s">
        <v>2</v>
      </c>
      <c r="J4" s="19"/>
      <c r="K4" s="20"/>
    </row>
    <row r="6" spans="1:12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  <c r="L6">
        <v>-1</v>
      </c>
    </row>
    <row r="8" spans="1:12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2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2" x14ac:dyDescent="0.35">
      <c r="A10">
        <v>-720</v>
      </c>
      <c r="B10" s="32">
        <v>-9.0000000004685639</v>
      </c>
      <c r="C10" s="33">
        <v>0.9</v>
      </c>
      <c r="D10" s="34">
        <v>1E-10</v>
      </c>
      <c r="E10" s="34">
        <v>146966442.24485511</v>
      </c>
      <c r="G10" s="32"/>
      <c r="H10" s="32"/>
      <c r="I10" s="33"/>
      <c r="J10" s="34"/>
      <c r="K10" s="34"/>
    </row>
    <row r="11" spans="1:12" x14ac:dyDescent="0.35">
      <c r="A11">
        <v>-466.22361079169303</v>
      </c>
      <c r="B11" s="32">
        <v>-52.208207873926071</v>
      </c>
      <c r="C11" s="33">
        <v>0.9</v>
      </c>
      <c r="D11" s="34">
        <v>11.832846160241202</v>
      </c>
      <c r="E11" s="34">
        <v>353144806.04621887</v>
      </c>
      <c r="G11" s="32"/>
      <c r="H11" s="32"/>
      <c r="I11" s="33"/>
      <c r="J11" s="34"/>
      <c r="K11" s="34"/>
    </row>
    <row r="12" spans="1:12" x14ac:dyDescent="0.35">
      <c r="A12">
        <v>-212.44722158553068</v>
      </c>
      <c r="B12" s="32">
        <v>-93.011095272462171</v>
      </c>
      <c r="C12" s="33">
        <v>0.9</v>
      </c>
      <c r="D12" s="34">
        <v>23.665692320382405</v>
      </c>
      <c r="E12" s="34">
        <v>421932101.33092141</v>
      </c>
      <c r="G12" s="32"/>
      <c r="H12" s="32"/>
      <c r="I12" s="33"/>
      <c r="J12" s="34"/>
      <c r="K12" s="34"/>
    </row>
    <row r="13" spans="1:12" x14ac:dyDescent="0.35">
      <c r="A13">
        <v>41.329167620631623</v>
      </c>
      <c r="B13" s="32">
        <v>-131.4086621959836</v>
      </c>
      <c r="C13" s="33">
        <v>0.9</v>
      </c>
      <c r="D13" s="34">
        <v>35.498538480523607</v>
      </c>
      <c r="E13" s="34">
        <v>458306922.2043702</v>
      </c>
      <c r="G13" s="32"/>
      <c r="H13" s="32"/>
      <c r="I13" s="33"/>
      <c r="J13" s="34"/>
      <c r="K13" s="34"/>
    </row>
    <row r="14" spans="1:12" x14ac:dyDescent="0.35">
      <c r="A14">
        <v>339.43652648948205</v>
      </c>
      <c r="B14" s="32">
        <v>-171.83400561075914</v>
      </c>
      <c r="C14" s="33">
        <v>0.9</v>
      </c>
      <c r="D14" s="34">
        <v>47.331384640664808</v>
      </c>
      <c r="E14" s="34">
        <v>483615755.67696971</v>
      </c>
      <c r="G14" s="32"/>
      <c r="H14" s="32"/>
      <c r="I14" s="33"/>
      <c r="J14" s="34"/>
      <c r="K14" s="34"/>
    </row>
    <row r="15" spans="1:12" x14ac:dyDescent="0.35">
      <c r="A15">
        <v>764.34672176281754</v>
      </c>
      <c r="B15" s="32">
        <v>-222.53431219096856</v>
      </c>
      <c r="C15" s="33">
        <v>0.9</v>
      </c>
      <c r="D15" s="34">
        <v>59.16423080080601</v>
      </c>
      <c r="E15" s="34">
        <v>505483710.32935417</v>
      </c>
      <c r="G15" s="32"/>
      <c r="H15" s="32"/>
      <c r="I15" s="33"/>
      <c r="J15" s="34"/>
      <c r="K15" s="34"/>
    </row>
    <row r="16" spans="1:12" x14ac:dyDescent="0.35">
      <c r="A16">
        <v>1132.212315013842</v>
      </c>
      <c r="B16" s="32">
        <v>-265.12483809393223</v>
      </c>
      <c r="C16" s="33">
        <v>0.9</v>
      </c>
      <c r="D16" s="34">
        <v>70.997076960947211</v>
      </c>
      <c r="E16" s="34">
        <v>527641683.31440508</v>
      </c>
      <c r="G16" s="32"/>
      <c r="H16" s="32"/>
      <c r="I16" s="33"/>
      <c r="J16" s="34"/>
      <c r="K16" s="34"/>
    </row>
    <row r="17" spans="1:11" x14ac:dyDescent="0.35">
      <c r="A17">
        <v>1467.480992823517</v>
      </c>
      <c r="B17" s="32">
        <v>-302.05035197774629</v>
      </c>
      <c r="C17" s="33">
        <v>0.9</v>
      </c>
      <c r="D17" s="34">
        <v>82.829923121088413</v>
      </c>
      <c r="E17" s="34">
        <v>549638725.4344219</v>
      </c>
      <c r="G17" s="32"/>
      <c r="H17" s="32"/>
      <c r="I17" s="33"/>
      <c r="J17" s="34"/>
      <c r="K17" s="34"/>
    </row>
    <row r="18" spans="1:11" x14ac:dyDescent="0.35">
      <c r="A18">
        <v>1755.6015984823352</v>
      </c>
      <c r="B18" s="32">
        <v>-331.8557381714599</v>
      </c>
      <c r="C18" s="33">
        <v>0.9</v>
      </c>
      <c r="D18" s="34">
        <v>94.662769281229615</v>
      </c>
      <c r="E18" s="34">
        <v>578288056.48347604</v>
      </c>
      <c r="G18" s="32"/>
      <c r="H18" s="32"/>
      <c r="I18" s="33"/>
      <c r="J18" s="34"/>
      <c r="K18" s="34"/>
    </row>
    <row r="19" spans="1:11" x14ac:dyDescent="0.35">
      <c r="A19">
        <v>2056.9151560405758</v>
      </c>
      <c r="B19" s="32">
        <v>-360.57509908010127</v>
      </c>
      <c r="C19" s="33">
        <v>0.9</v>
      </c>
      <c r="D19" s="34">
        <v>106.49561544137082</v>
      </c>
      <c r="E19" s="34">
        <v>612490228.67309368</v>
      </c>
      <c r="G19" s="32"/>
      <c r="H19" s="32"/>
      <c r="I19" s="33"/>
      <c r="J19" s="34"/>
      <c r="K19" s="34"/>
    </row>
    <row r="20" spans="1:11" x14ac:dyDescent="0.35">
      <c r="A20">
        <v>2348.7212799284089</v>
      </c>
      <c r="B20" s="32">
        <v>-385.93839614668713</v>
      </c>
      <c r="C20" s="33">
        <v>0.9</v>
      </c>
      <c r="D20" s="34">
        <v>118.32846160151202</v>
      </c>
      <c r="E20" s="34">
        <v>653369408.01548553</v>
      </c>
      <c r="G20" s="32"/>
      <c r="H20" s="32"/>
      <c r="I20" s="33"/>
      <c r="J20" s="34"/>
      <c r="K20" s="34"/>
    </row>
    <row r="21" spans="1:11" x14ac:dyDescent="0.35">
      <c r="A21">
        <v>2633.6129066013987</v>
      </c>
      <c r="B21" s="32">
        <v>-408.20492301677393</v>
      </c>
      <c r="C21" s="33">
        <v>0.9</v>
      </c>
      <c r="D21" s="34">
        <v>130.16130776165323</v>
      </c>
      <c r="E21" s="34">
        <v>701950315.40535069</v>
      </c>
      <c r="G21" s="32"/>
      <c r="H21" s="32"/>
      <c r="I21" s="33"/>
      <c r="J21" s="34"/>
      <c r="K21" s="34"/>
    </row>
    <row r="22" spans="1:11" x14ac:dyDescent="0.35">
      <c r="A22">
        <v>2913.318660363253</v>
      </c>
      <c r="B22" s="32">
        <v>-427.54754212073271</v>
      </c>
      <c r="C22" s="33">
        <v>0.9</v>
      </c>
      <c r="D22" s="34">
        <v>141.99415392179444</v>
      </c>
      <c r="E22" s="34">
        <v>759196780.68493843</v>
      </c>
      <c r="G22" s="32"/>
      <c r="H22" s="32"/>
      <c r="I22" s="33"/>
      <c r="J22" s="34"/>
      <c r="K22" s="34"/>
    </row>
    <row r="23" spans="1:11" x14ac:dyDescent="0.35">
      <c r="A23">
        <v>3189.0352811165435</v>
      </c>
      <c r="B23" s="32">
        <v>-444.08592744882026</v>
      </c>
      <c r="C23" s="33">
        <v>0.9</v>
      </c>
      <c r="D23" s="34">
        <v>153.82700008193564</v>
      </c>
      <c r="E23" s="34">
        <v>826033650.88175607</v>
      </c>
      <c r="G23" s="32"/>
      <c r="H23" s="32"/>
      <c r="I23" s="33"/>
      <c r="J23" s="34"/>
      <c r="K23" s="34"/>
    </row>
    <row r="24" spans="1:11" x14ac:dyDescent="0.35">
      <c r="A24">
        <v>3461.6175830773882</v>
      </c>
      <c r="B24" s="32">
        <v>-457.90556042264865</v>
      </c>
      <c r="C24" s="33">
        <v>0.9</v>
      </c>
      <c r="D24" s="34">
        <v>165.65984624207684</v>
      </c>
      <c r="E24" s="34">
        <v>903359874.46541977</v>
      </c>
      <c r="G24" s="32"/>
      <c r="H24" s="32"/>
      <c r="I24" s="33"/>
      <c r="J24" s="34"/>
      <c r="K24" s="34"/>
    </row>
    <row r="25" spans="1:11" x14ac:dyDescent="0.35">
      <c r="A25">
        <v>3731.692430004276</v>
      </c>
      <c r="B25" s="32">
        <v>-469.06912741806661</v>
      </c>
      <c r="C25" s="33">
        <v>0.9</v>
      </c>
      <c r="D25" s="34">
        <v>177.49269240221804</v>
      </c>
      <c r="E25" s="34">
        <v>992056647.16744244</v>
      </c>
      <c r="G25" s="32"/>
      <c r="H25" s="32"/>
      <c r="I25" s="33"/>
      <c r="J25" s="34"/>
      <c r="K25" s="34"/>
    </row>
    <row r="26" spans="1:11" x14ac:dyDescent="0.35">
      <c r="A26">
        <v>4044.0609393774057</v>
      </c>
      <c r="B26" s="32">
        <v>-472.08227200929451</v>
      </c>
      <c r="C26" s="33">
        <v>0.9</v>
      </c>
      <c r="D26" s="34">
        <v>189.32553856235924</v>
      </c>
      <c r="E26" s="34">
        <v>1092992665.2530527</v>
      </c>
      <c r="G26" s="32"/>
      <c r="H26" s="32"/>
      <c r="I26" s="33"/>
      <c r="J26" s="34"/>
      <c r="K26" s="34"/>
    </row>
    <row r="27" spans="1:11" x14ac:dyDescent="0.35">
      <c r="A27">
        <v>4360.7541690496173</v>
      </c>
      <c r="B27" s="32">
        <v>-471.77200504532703</v>
      </c>
      <c r="C27" s="33">
        <v>0.9</v>
      </c>
      <c r="D27" s="34">
        <v>201.15838472250044</v>
      </c>
      <c r="E27" s="34">
        <v>1207027617.6088078</v>
      </c>
      <c r="G27" s="32"/>
      <c r="H27" s="32"/>
      <c r="I27" s="33"/>
      <c r="J27" s="34"/>
      <c r="K27" s="34"/>
    </row>
    <row r="28" spans="1:11" x14ac:dyDescent="0.35">
      <c r="A28">
        <v>4670.4566386700462</v>
      </c>
      <c r="B28" s="32">
        <v>-469.61567841048708</v>
      </c>
      <c r="C28" s="33">
        <v>0.9</v>
      </c>
      <c r="D28" s="34">
        <v>212.99123088264164</v>
      </c>
      <c r="E28" s="34">
        <v>1335014569.0455523</v>
      </c>
      <c r="G28" s="32"/>
      <c r="H28" s="32"/>
      <c r="I28" s="33"/>
      <c r="J28" s="34"/>
      <c r="K28" s="34"/>
    </row>
    <row r="29" spans="1:11" x14ac:dyDescent="0.35">
      <c r="A29">
        <v>4974.2721524573981</v>
      </c>
      <c r="B29" s="32">
        <v>-465.52498776727884</v>
      </c>
      <c r="C29" s="33">
        <v>0.9</v>
      </c>
      <c r="D29" s="34">
        <v>224.82407704278285</v>
      </c>
      <c r="E29" s="34">
        <v>1477801624.9034231</v>
      </c>
      <c r="G29" s="32"/>
      <c r="H29" s="32"/>
      <c r="I29" s="33"/>
      <c r="J29" s="34"/>
      <c r="K29" s="34"/>
    </row>
    <row r="30" spans="1:11" x14ac:dyDescent="0.35">
      <c r="A30">
        <v>5264.2175598543836</v>
      </c>
      <c r="B30" s="32">
        <v>-458.54267025248026</v>
      </c>
      <c r="C30" s="33">
        <v>0.9</v>
      </c>
      <c r="D30" s="34">
        <v>236.65692320292405</v>
      </c>
      <c r="E30" s="34">
        <v>1636233117.7075434</v>
      </c>
      <c r="G30" s="32"/>
      <c r="H30" s="32"/>
      <c r="I30" s="33"/>
      <c r="J30" s="34"/>
      <c r="K30" s="34"/>
    </row>
    <row r="31" spans="1:11" x14ac:dyDescent="0.35">
      <c r="A31">
        <v>5550.5908645020099</v>
      </c>
      <c r="B31" s="32">
        <v>-449.56985419555485</v>
      </c>
      <c r="C31" s="33">
        <v>0.9</v>
      </c>
      <c r="D31" s="34">
        <v>248.48976936306525</v>
      </c>
      <c r="E31" s="34">
        <v>1811150468.6656449</v>
      </c>
      <c r="G31" s="32"/>
      <c r="H31" s="32"/>
      <c r="I31" s="33"/>
      <c r="J31" s="34"/>
      <c r="K31" s="34"/>
    </row>
    <row r="32" spans="1:11" x14ac:dyDescent="0.35">
      <c r="A32">
        <v>5834.0008132004114</v>
      </c>
      <c r="B32" s="32">
        <v>-438.56213715726761</v>
      </c>
      <c r="C32" s="33">
        <v>0.9</v>
      </c>
      <c r="D32" s="34">
        <v>260.32261552320642</v>
      </c>
      <c r="E32" s="34">
        <v>2003392823.4146245</v>
      </c>
      <c r="G32" s="32"/>
      <c r="H32" s="32"/>
      <c r="I32" s="33"/>
      <c r="J32" s="34"/>
      <c r="K32" s="34"/>
    </row>
    <row r="33" spans="1:11" x14ac:dyDescent="0.35">
      <c r="A33">
        <v>6114.8339306386224</v>
      </c>
      <c r="B33" s="32">
        <v>-425.47120355149008</v>
      </c>
      <c r="C33" s="33">
        <v>0.9</v>
      </c>
      <c r="D33" s="34">
        <v>272.15546168334765</v>
      </c>
      <c r="E33" s="34">
        <v>2213797528.1443567</v>
      </c>
      <c r="G33" s="32"/>
      <c r="H33" s="32"/>
      <c r="I33" s="33"/>
      <c r="J33" s="34"/>
      <c r="K33" s="34"/>
    </row>
    <row r="34" spans="1:11" x14ac:dyDescent="0.35">
      <c r="A34">
        <v>6393.4123207241619</v>
      </c>
      <c r="B34" s="32">
        <v>-410.25679038978137</v>
      </c>
      <c r="C34" s="33">
        <v>0.9</v>
      </c>
      <c r="D34" s="34">
        <v>283.98830784348888</v>
      </c>
      <c r="E34" s="34">
        <v>2443200490.9783025</v>
      </c>
      <c r="G34" s="32"/>
      <c r="H34" s="32"/>
      <c r="I34" s="33"/>
      <c r="J34" s="34"/>
      <c r="K34" s="34"/>
    </row>
    <row r="35" spans="1:11" x14ac:dyDescent="0.35">
      <c r="A35">
        <v>6670.0065507393529</v>
      </c>
      <c r="B35" s="32">
        <v>-392.88507676185174</v>
      </c>
      <c r="C35" s="33">
        <v>0.9</v>
      </c>
      <c r="D35" s="34">
        <v>295.82115400363011</v>
      </c>
      <c r="E35" s="34">
        <v>2692436459.6263919</v>
      </c>
      <c r="G35" s="32"/>
      <c r="H35" s="32"/>
      <c r="I35" s="33"/>
      <c r="J35" s="34"/>
      <c r="K35" s="34"/>
    </row>
    <row r="36" spans="1:11" x14ac:dyDescent="0.35">
      <c r="A36">
        <v>6944.8455622307729</v>
      </c>
      <c r="B36" s="32">
        <v>-373.32744497437881</v>
      </c>
      <c r="C36" s="33">
        <v>0.9</v>
      </c>
      <c r="D36" s="34">
        <v>307.65400016377134</v>
      </c>
      <c r="E36" s="34">
        <v>2875987820.9493394</v>
      </c>
      <c r="G36" s="32"/>
      <c r="H36" s="32"/>
      <c r="I36" s="33"/>
      <c r="J36" s="34"/>
      <c r="K36" s="34"/>
    </row>
    <row r="37" spans="1:11" x14ac:dyDescent="0.35">
      <c r="A37">
        <v>7218.1243794788397</v>
      </c>
      <c r="B37" s="32">
        <v>-351.55951699231014</v>
      </c>
      <c r="C37" s="33">
        <v>0.9</v>
      </c>
      <c r="D37" s="34">
        <v>319.48684632391257</v>
      </c>
      <c r="E37" s="34">
        <v>3167260772.3670135</v>
      </c>
      <c r="G37" s="32"/>
      <c r="H37" s="32"/>
      <c r="I37" s="33"/>
      <c r="J37" s="34"/>
      <c r="K37" s="34"/>
    </row>
    <row r="38" spans="1:11" x14ac:dyDescent="0.35">
      <c r="A38">
        <v>7490.0101661524841</v>
      </c>
      <c r="B38" s="32">
        <v>-327.56039735702956</v>
      </c>
      <c r="C38" s="33">
        <v>0.9</v>
      </c>
      <c r="D38" s="34">
        <v>331.3196924840538</v>
      </c>
      <c r="E38" s="34">
        <v>3480874846.099999</v>
      </c>
      <c r="G38" s="32"/>
      <c r="H38" s="32"/>
      <c r="I38" s="33"/>
      <c r="J38" s="34"/>
      <c r="K38" s="34"/>
    </row>
    <row r="39" spans="1:11" x14ac:dyDescent="0.35">
      <c r="A39">
        <v>7760.647028862858</v>
      </c>
      <c r="B39" s="32">
        <v>-301.31207274214353</v>
      </c>
      <c r="C39" s="33">
        <v>0.9</v>
      </c>
      <c r="D39" s="34">
        <v>343.15253864419503</v>
      </c>
      <c r="E39" s="34">
        <v>3817661008.8443584</v>
      </c>
      <c r="G39" s="32"/>
      <c r="H39" s="32"/>
      <c r="I39" s="33"/>
      <c r="J39" s="34"/>
      <c r="K39" s="34"/>
    </row>
    <row r="40" spans="1:11" x14ac:dyDescent="0.35">
      <c r="A40">
        <v>8030.16</v>
      </c>
      <c r="B40" s="32">
        <v>-272.79893159836229</v>
      </c>
      <c r="C40" s="33">
        <v>0.9</v>
      </c>
      <c r="D40" s="34">
        <v>354.98538480423605</v>
      </c>
      <c r="E40" s="34">
        <v>3696032364.7544374</v>
      </c>
      <c r="G40" s="32"/>
      <c r="H40" s="32"/>
      <c r="I40" s="33"/>
      <c r="J40" s="34"/>
      <c r="K40" s="34"/>
    </row>
    <row r="41" spans="1:11" x14ac:dyDescent="0.35">
      <c r="A41">
        <v>8030.16</v>
      </c>
      <c r="B41" s="32">
        <v>0</v>
      </c>
      <c r="C41" s="33">
        <v>0.9</v>
      </c>
      <c r="D41" s="34"/>
      <c r="E41" s="34"/>
      <c r="G41" s="32"/>
      <c r="H41" s="32"/>
      <c r="I41" s="33"/>
      <c r="J41" s="34"/>
      <c r="K41" s="34"/>
    </row>
    <row r="42" spans="1:11" x14ac:dyDescent="0.35"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>
        <v>-720</v>
      </c>
      <c r="B43" s="32">
        <v>-8.9999999995314379</v>
      </c>
      <c r="C43" s="33">
        <v>0.9</v>
      </c>
      <c r="D43" s="34">
        <v>1E-10</v>
      </c>
      <c r="E43" s="34">
        <v>146966442.24376273</v>
      </c>
      <c r="G43" s="32"/>
      <c r="H43" s="32"/>
      <c r="I43" s="33"/>
      <c r="J43" s="34"/>
      <c r="K43" s="34"/>
    </row>
    <row r="44" spans="1:11" x14ac:dyDescent="0.35">
      <c r="A44">
        <v>-466.5791980985444</v>
      </c>
      <c r="B44" s="32">
        <v>34.149348029554417</v>
      </c>
      <c r="C44" s="33">
        <v>0.9</v>
      </c>
      <c r="D44" s="34">
        <v>11.816266170622653</v>
      </c>
      <c r="E44" s="34">
        <v>301755480.34534687</v>
      </c>
      <c r="G44" s="32"/>
      <c r="H44" s="32"/>
      <c r="I44" s="33"/>
      <c r="J44" s="34"/>
      <c r="K44" s="34"/>
    </row>
    <row r="45" spans="1:11" x14ac:dyDescent="0.35">
      <c r="A45">
        <v>-213.15839619923338</v>
      </c>
      <c r="B45" s="32">
        <v>74.900111452373494</v>
      </c>
      <c r="C45" s="33">
        <v>0.9</v>
      </c>
      <c r="D45" s="34">
        <v>23.632532341145307</v>
      </c>
      <c r="E45" s="34">
        <v>353671341.54518294</v>
      </c>
      <c r="G45" s="32"/>
      <c r="H45" s="32"/>
      <c r="I45" s="33"/>
      <c r="J45" s="34"/>
      <c r="K45" s="34"/>
    </row>
    <row r="46" spans="1:11" x14ac:dyDescent="0.35">
      <c r="A46">
        <v>178.60048389720009</v>
      </c>
      <c r="B46" s="32">
        <v>130.54455004347287</v>
      </c>
      <c r="C46" s="33">
        <v>0.9</v>
      </c>
      <c r="D46" s="34">
        <v>35.44879851166796</v>
      </c>
      <c r="E46" s="34">
        <v>381649818.1405766</v>
      </c>
      <c r="G46" s="32"/>
      <c r="H46" s="32"/>
      <c r="I46" s="33"/>
      <c r="J46" s="34"/>
      <c r="K46" s="34"/>
    </row>
    <row r="47" spans="1:11" x14ac:dyDescent="0.35">
      <c r="A47">
        <v>622.43676624682757</v>
      </c>
      <c r="B47" s="32">
        <v>190.30007930986142</v>
      </c>
      <c r="C47" s="33">
        <v>0.9</v>
      </c>
      <c r="D47" s="34">
        <v>47.265064682190612</v>
      </c>
      <c r="E47" s="34">
        <v>401921380.72093099</v>
      </c>
      <c r="G47" s="32"/>
      <c r="H47" s="32"/>
      <c r="I47" s="33"/>
      <c r="J47" s="34"/>
      <c r="K47" s="34"/>
    </row>
    <row r="48" spans="1:11" x14ac:dyDescent="0.35">
      <c r="A48">
        <v>990.10685641645739</v>
      </c>
      <c r="B48" s="32">
        <v>238.13624994739024</v>
      </c>
      <c r="C48" s="33">
        <v>0.9</v>
      </c>
      <c r="D48" s="34">
        <v>59.081330852713265</v>
      </c>
      <c r="E48" s="34">
        <v>419865458.51600975</v>
      </c>
      <c r="G48" s="32"/>
      <c r="H48" s="32"/>
      <c r="I48" s="33"/>
      <c r="J48" s="34"/>
      <c r="K48" s="34"/>
    </row>
    <row r="49" spans="1:11" x14ac:dyDescent="0.35">
      <c r="A49">
        <v>1292.9188504960346</v>
      </c>
      <c r="B49" s="32">
        <v>275.46657396730251</v>
      </c>
      <c r="C49" s="33">
        <v>0.9</v>
      </c>
      <c r="D49" s="34">
        <v>70.897597023235917</v>
      </c>
      <c r="E49" s="34">
        <v>439395842.77129233</v>
      </c>
      <c r="G49" s="32"/>
      <c r="H49" s="32"/>
      <c r="I49" s="33"/>
      <c r="J49" s="34"/>
      <c r="K49" s="34"/>
    </row>
    <row r="50" spans="1:11" x14ac:dyDescent="0.35">
      <c r="A50">
        <v>1600.7440753812764</v>
      </c>
      <c r="B50" s="32">
        <v>311.02496723156281</v>
      </c>
      <c r="C50" s="33">
        <v>0.9</v>
      </c>
      <c r="D50" s="34">
        <v>82.71386319375857</v>
      </c>
      <c r="E50" s="34">
        <v>462098313.02410436</v>
      </c>
      <c r="G50" s="32"/>
      <c r="H50" s="32"/>
      <c r="I50" s="33"/>
      <c r="J50" s="34"/>
      <c r="K50" s="34"/>
    </row>
    <row r="51" spans="1:11" x14ac:dyDescent="0.35">
      <c r="A51">
        <v>1894.9681945200493</v>
      </c>
      <c r="B51" s="32">
        <v>342.48463767115447</v>
      </c>
      <c r="C51" s="33">
        <v>0.9</v>
      </c>
      <c r="D51" s="34">
        <v>94.530129364281223</v>
      </c>
      <c r="E51" s="34">
        <v>489397046.476542</v>
      </c>
      <c r="G51" s="32"/>
      <c r="H51" s="32"/>
      <c r="I51" s="33"/>
      <c r="J51" s="34"/>
      <c r="K51" s="34"/>
    </row>
    <row r="52" spans="1:11" x14ac:dyDescent="0.35">
      <c r="A52">
        <v>2180.1249098278395</v>
      </c>
      <c r="B52" s="32">
        <v>370.41229802551317</v>
      </c>
      <c r="C52" s="33">
        <v>0.9</v>
      </c>
      <c r="D52" s="34">
        <v>106.34639553480388</v>
      </c>
      <c r="E52" s="34">
        <v>522474048.8860656</v>
      </c>
      <c r="G52" s="32"/>
      <c r="H52" s="32"/>
      <c r="I52" s="33"/>
      <c r="J52" s="34"/>
      <c r="K52" s="34"/>
    </row>
    <row r="53" spans="1:11" x14ac:dyDescent="0.35">
      <c r="A53">
        <v>2458.9344424539399</v>
      </c>
      <c r="B53" s="32">
        <v>395.1479759383007</v>
      </c>
      <c r="C53" s="33">
        <v>0.9</v>
      </c>
      <c r="D53" s="34">
        <v>118.16266170532653</v>
      </c>
      <c r="E53" s="34">
        <v>562380261.77328515</v>
      </c>
      <c r="G53" s="32"/>
      <c r="H53" s="32"/>
      <c r="I53" s="33"/>
      <c r="J53" s="34"/>
      <c r="K53" s="34"/>
    </row>
    <row r="54" spans="1:11" x14ac:dyDescent="0.35">
      <c r="A54">
        <v>2733.1278422206274</v>
      </c>
      <c r="B54" s="32">
        <v>416.90805263730152</v>
      </c>
      <c r="C54" s="33">
        <v>0.9</v>
      </c>
      <c r="D54" s="34">
        <v>129.97892787584919</v>
      </c>
      <c r="E54" s="34">
        <v>610090640.2328912</v>
      </c>
      <c r="G54" s="32"/>
      <c r="H54" s="32"/>
      <c r="I54" s="33"/>
      <c r="J54" s="34"/>
      <c r="K54" s="34"/>
    </row>
    <row r="55" spans="1:11" x14ac:dyDescent="0.35">
      <c r="A55">
        <v>3003.8591423427542</v>
      </c>
      <c r="B55" s="32">
        <v>435.8367822743723</v>
      </c>
      <c r="C55" s="33">
        <v>0.9</v>
      </c>
      <c r="D55" s="34">
        <v>141.79519404637185</v>
      </c>
      <c r="E55" s="34">
        <v>666533609.38016045</v>
      </c>
      <c r="G55" s="32"/>
      <c r="H55" s="32"/>
      <c r="I55" s="33"/>
      <c r="J55" s="34"/>
      <c r="K55" s="34"/>
    </row>
    <row r="56" spans="1:11" x14ac:dyDescent="0.35">
      <c r="A56">
        <v>3267.6954246931873</v>
      </c>
      <c r="B56" s="32">
        <v>451.50505008362131</v>
      </c>
      <c r="C56" s="33">
        <v>0.9</v>
      </c>
      <c r="D56" s="34">
        <v>153.6114602168945</v>
      </c>
      <c r="E56" s="34">
        <v>732607804.04436326</v>
      </c>
      <c r="G56" s="32"/>
      <c r="H56" s="32"/>
      <c r="I56" s="33"/>
      <c r="J56" s="34"/>
      <c r="K56" s="34"/>
    </row>
    <row r="57" spans="1:11" x14ac:dyDescent="0.35">
      <c r="A57">
        <v>3523.4432473228317</v>
      </c>
      <c r="B57" s="32">
        <v>463.24009615708655</v>
      </c>
      <c r="C57" s="33">
        <v>0.9</v>
      </c>
      <c r="D57" s="34">
        <v>165.42772638741715</v>
      </c>
      <c r="E57" s="34">
        <v>809192066.78538513</v>
      </c>
      <c r="G57" s="32"/>
      <c r="H57" s="32"/>
      <c r="I57" s="33"/>
      <c r="J57" s="34"/>
      <c r="K57" s="34"/>
    </row>
    <row r="58" spans="1:11" x14ac:dyDescent="0.35">
      <c r="A58">
        <v>3836.7089145067539</v>
      </c>
      <c r="B58" s="32">
        <v>466.8247731687643</v>
      </c>
      <c r="C58" s="33">
        <v>0.9</v>
      </c>
      <c r="D58" s="34">
        <v>177.24399255793981</v>
      </c>
      <c r="E58" s="34">
        <v>897151672.62248468</v>
      </c>
      <c r="G58" s="32"/>
      <c r="H58" s="32"/>
      <c r="I58" s="33"/>
      <c r="J58" s="34"/>
      <c r="K58" s="34"/>
    </row>
    <row r="59" spans="1:11" x14ac:dyDescent="0.35">
      <c r="A59">
        <v>4142.4939735301023</v>
      </c>
      <c r="B59" s="32">
        <v>468.75892639013915</v>
      </c>
      <c r="C59" s="33">
        <v>0.9</v>
      </c>
      <c r="D59" s="34">
        <v>189.06025872846246</v>
      </c>
      <c r="E59" s="34">
        <v>997342343.55141211</v>
      </c>
      <c r="G59" s="32"/>
      <c r="H59" s="32"/>
      <c r="I59" s="33"/>
      <c r="J59" s="34"/>
      <c r="K59" s="34"/>
    </row>
    <row r="60" spans="1:11" x14ac:dyDescent="0.35">
      <c r="A60">
        <v>4442.1185317153331</v>
      </c>
      <c r="B60" s="32">
        <v>468.91054508896582</v>
      </c>
      <c r="C60" s="33">
        <v>0.9</v>
      </c>
      <c r="D60" s="34">
        <v>200.87652489898511</v>
      </c>
      <c r="E60" s="34">
        <v>1110612917.2703245</v>
      </c>
      <c r="G60" s="32"/>
      <c r="H60" s="32"/>
      <c r="I60" s="33"/>
      <c r="J60" s="34"/>
      <c r="K60" s="34"/>
    </row>
    <row r="61" spans="1:11" x14ac:dyDescent="0.35">
      <c r="A61">
        <v>4736.6093392021303</v>
      </c>
      <c r="B61" s="32">
        <v>467.17695425127584</v>
      </c>
      <c r="C61" s="33">
        <v>0.9</v>
      </c>
      <c r="D61" s="34">
        <v>212.69279106950776</v>
      </c>
      <c r="E61" s="34">
        <v>1237807168.6058445</v>
      </c>
      <c r="G61" s="32"/>
      <c r="H61" s="32"/>
      <c r="I61" s="33"/>
      <c r="J61" s="34"/>
      <c r="K61" s="34"/>
    </row>
    <row r="62" spans="1:11" x14ac:dyDescent="0.35">
      <c r="A62">
        <v>5026.7769882060356</v>
      </c>
      <c r="B62" s="32">
        <v>463.47709465551486</v>
      </c>
      <c r="C62" s="33">
        <v>0.9</v>
      </c>
      <c r="D62" s="34">
        <v>224.50905724003042</v>
      </c>
      <c r="E62" s="34">
        <v>1379765081.7129407</v>
      </c>
      <c r="G62" s="32"/>
      <c r="H62" s="32"/>
      <c r="I62" s="33"/>
      <c r="J62" s="34"/>
      <c r="K62" s="34"/>
    </row>
    <row r="63" spans="1:11" x14ac:dyDescent="0.35">
      <c r="A63">
        <v>5313.2699524994832</v>
      </c>
      <c r="B63" s="32">
        <v>457.74611892443977</v>
      </c>
      <c r="C63" s="33">
        <v>0.9</v>
      </c>
      <c r="D63" s="34">
        <v>236.32532341055307</v>
      </c>
      <c r="E63" s="34">
        <v>1537323757.0167165</v>
      </c>
      <c r="G63" s="32"/>
      <c r="H63" s="32"/>
      <c r="I63" s="33"/>
      <c r="J63" s="34"/>
      <c r="K63" s="34"/>
    </row>
    <row r="64" spans="1:11" x14ac:dyDescent="0.35">
      <c r="A64">
        <v>5596.61318704111</v>
      </c>
      <c r="B64" s="32">
        <v>449.93153156218659</v>
      </c>
      <c r="C64" s="33">
        <v>0.9</v>
      </c>
      <c r="D64" s="34">
        <v>248.14158958107572</v>
      </c>
      <c r="E64" s="34">
        <v>1711318069.6554146</v>
      </c>
      <c r="G64" s="32"/>
      <c r="H64" s="32"/>
      <c r="I64" s="33"/>
      <c r="J64" s="34"/>
      <c r="K64" s="34"/>
    </row>
    <row r="65" spans="1:11" x14ac:dyDescent="0.35">
      <c r="A65">
        <v>5877.2362004334354</v>
      </c>
      <c r="B65" s="32">
        <v>439.99038170850361</v>
      </c>
      <c r="C65" s="33">
        <v>0.9</v>
      </c>
      <c r="D65" s="34">
        <v>259.95785575159834</v>
      </c>
      <c r="E65" s="34">
        <v>1902581155.3912706</v>
      </c>
      <c r="G65" s="32"/>
      <c r="H65" s="32"/>
      <c r="I65" s="33"/>
      <c r="J65" s="34"/>
      <c r="K65" s="34"/>
    </row>
    <row r="66" spans="1:11" x14ac:dyDescent="0.35">
      <c r="A66">
        <v>6155.4938041307187</v>
      </c>
      <c r="B66" s="32">
        <v>427.88718821796493</v>
      </c>
      <c r="C66" s="33">
        <v>0.9</v>
      </c>
      <c r="D66" s="34">
        <v>271.77412192212103</v>
      </c>
      <c r="E66" s="34">
        <v>2111944774.5256712</v>
      </c>
      <c r="G66" s="32"/>
      <c r="H66" s="32"/>
      <c r="I66" s="33"/>
      <c r="J66" s="34"/>
      <c r="K66" s="34"/>
    </row>
    <row r="67" spans="1:11" x14ac:dyDescent="0.35">
      <c r="A67">
        <v>6431.681674344838</v>
      </c>
      <c r="B67" s="32">
        <v>413.59238346938258</v>
      </c>
      <c r="C67" s="33">
        <v>0.9</v>
      </c>
      <c r="D67" s="34">
        <v>283.59038809264371</v>
      </c>
      <c r="E67" s="34">
        <v>2267763668.4368157</v>
      </c>
      <c r="G67" s="32"/>
      <c r="H67" s="32"/>
      <c r="I67" s="33"/>
      <c r="J67" s="34"/>
      <c r="K67" s="34"/>
    </row>
    <row r="68" spans="1:11" x14ac:dyDescent="0.35">
      <c r="A68">
        <v>6706.0481790937738</v>
      </c>
      <c r="B68" s="32">
        <v>397.08113066095854</v>
      </c>
      <c r="C68" s="33">
        <v>0.9</v>
      </c>
      <c r="D68" s="34">
        <v>295.40665426316639</v>
      </c>
      <c r="E68" s="34">
        <v>2515698919.4792099</v>
      </c>
      <c r="G68" s="32"/>
      <c r="H68" s="32"/>
      <c r="I68" s="33"/>
      <c r="J68" s="34"/>
      <c r="K68" s="34"/>
    </row>
    <row r="69" spans="1:11" x14ac:dyDescent="0.35">
      <c r="A69">
        <v>6978.8034759311986</v>
      </c>
      <c r="B69" s="32">
        <v>378.33241403732529</v>
      </c>
      <c r="C69" s="33">
        <v>0.9</v>
      </c>
      <c r="D69" s="34">
        <v>307.22292043368907</v>
      </c>
      <c r="E69" s="34">
        <v>2784233077.3264451</v>
      </c>
      <c r="G69" s="32"/>
      <c r="H69" s="32"/>
      <c r="I69" s="33"/>
      <c r="J69" s="34"/>
      <c r="K69" s="34"/>
    </row>
    <row r="70" spans="1:11" x14ac:dyDescent="0.35">
      <c r="A70">
        <v>7250.1265879583952</v>
      </c>
      <c r="B70" s="32">
        <v>357.32833128835506</v>
      </c>
      <c r="C70" s="33">
        <v>0.9</v>
      </c>
      <c r="D70" s="34">
        <v>319.03918660421175</v>
      </c>
      <c r="E70" s="34">
        <v>3074193653.4509978</v>
      </c>
      <c r="G70" s="32"/>
      <c r="H70" s="32"/>
      <c r="I70" s="33"/>
      <c r="J70" s="34"/>
      <c r="K70" s="34"/>
    </row>
    <row r="71" spans="1:11" x14ac:dyDescent="0.35">
      <c r="A71">
        <v>7520.1709635478855</v>
      </c>
      <c r="B71" s="32">
        <v>334.05353757679541</v>
      </c>
      <c r="C71" s="33">
        <v>0.9</v>
      </c>
      <c r="D71" s="34">
        <v>330.85545277473443</v>
      </c>
      <c r="E71" s="34">
        <v>3386407799.2944508</v>
      </c>
      <c r="G71" s="32"/>
      <c r="H71" s="32"/>
      <c r="I71" s="33"/>
      <c r="J71" s="34"/>
      <c r="K71" s="34"/>
    </row>
    <row r="72" spans="1:11" x14ac:dyDescent="0.35">
      <c r="A72">
        <v>7789.0688857794339</v>
      </c>
      <c r="B72" s="32">
        <v>308.49480459466992</v>
      </c>
      <c r="C72" s="33">
        <v>0.9</v>
      </c>
      <c r="D72" s="34">
        <v>342.67171894525711</v>
      </c>
      <c r="E72" s="34">
        <v>3721702366.6480703</v>
      </c>
      <c r="G72" s="32"/>
      <c r="H72" s="32"/>
      <c r="I72" s="33"/>
      <c r="J72" s="34"/>
      <c r="K72" s="34"/>
    </row>
    <row r="73" spans="1:11" x14ac:dyDescent="0.35">
      <c r="A73">
        <v>8030.16</v>
      </c>
      <c r="B73" s="32">
        <v>283.31816780864546</v>
      </c>
      <c r="C73" s="33">
        <v>0.9</v>
      </c>
      <c r="D73" s="34">
        <v>354.48798511567958</v>
      </c>
      <c r="E73" s="34">
        <v>3696032364.7544374</v>
      </c>
      <c r="G73" s="32"/>
      <c r="H73" s="32"/>
      <c r="I73" s="33"/>
      <c r="J73" s="34"/>
      <c r="K73" s="34"/>
    </row>
    <row r="74" spans="1:11" x14ac:dyDescent="0.35">
      <c r="A74">
        <v>8030.16</v>
      </c>
      <c r="B74" s="32">
        <v>0</v>
      </c>
      <c r="C74" s="33">
        <v>0.9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EB51D12A-2C86-462C-BB0F-9EB5EA0C80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9C10-4711-4F5F-8EFA-6333FD4C1564}">
  <dimension ref="A1:K76"/>
  <sheetViews>
    <sheetView tabSelected="1" topLeftCell="A4" workbookViewId="0">
      <selection activeCell="L6" sqref="L6"/>
    </sheetView>
  </sheetViews>
  <sheetFormatPr defaultRowHeight="14.5" x14ac:dyDescent="0.35"/>
  <cols>
    <col min="1" max="2" width="7" customWidth="1"/>
    <col min="3" max="3" width="5.81640625" customWidth="1"/>
    <col min="4" max="4" width="7.36328125" customWidth="1"/>
    <col min="5" max="9" width="7" customWidth="1"/>
    <col min="10" max="10" width="8.453125" customWidth="1"/>
    <col min="11" max="12" width="7" customWidth="1"/>
  </cols>
  <sheetData>
    <row r="1" spans="1:11" x14ac:dyDescent="0.35">
      <c r="A1" s="35" t="str">
        <f>IF([1]Input!A1="","",[1]Input!A1)</f>
        <v/>
      </c>
      <c r="B1" s="36"/>
      <c r="C1" s="37"/>
      <c r="D1" s="1" t="s">
        <v>0</v>
      </c>
      <c r="E1" s="41"/>
      <c r="F1" s="36"/>
      <c r="G1" s="36"/>
      <c r="H1" s="36"/>
      <c r="I1" s="1" t="s">
        <v>1</v>
      </c>
      <c r="J1" s="2" t="str">
        <f>IF([1]Input!K1="","",[1]Input!K1)</f>
        <v/>
      </c>
      <c r="K1" s="3"/>
    </row>
    <row r="2" spans="1:11" x14ac:dyDescent="0.35">
      <c r="A2" s="38"/>
      <c r="B2" s="39"/>
      <c r="C2" s="40"/>
      <c r="D2" s="4"/>
      <c r="E2" s="39"/>
      <c r="F2" s="39"/>
      <c r="G2" s="39"/>
      <c r="H2" s="39"/>
      <c r="I2" s="5" t="s">
        <v>2</v>
      </c>
      <c r="J2" s="6"/>
      <c r="K2" s="7"/>
    </row>
    <row r="3" spans="1:11" x14ac:dyDescent="0.35">
      <c r="A3" s="8"/>
      <c r="B3" s="9" t="s">
        <v>3</v>
      </c>
      <c r="C3" s="10"/>
      <c r="D3" s="11" t="s">
        <v>4</v>
      </c>
      <c r="E3" s="42"/>
      <c r="F3" s="43"/>
      <c r="G3" s="43"/>
      <c r="H3" s="43"/>
      <c r="I3" s="11" t="s">
        <v>5</v>
      </c>
      <c r="J3" s="12" t="str">
        <f>IF([1]Input!K3="","",[1]Input!K3)</f>
        <v/>
      </c>
      <c r="K3" s="13"/>
    </row>
    <row r="4" spans="1:11" ht="15" thickBot="1" x14ac:dyDescent="0.4">
      <c r="A4" s="14"/>
      <c r="B4" s="15">
        <f>[1]Input!B4</f>
        <v>2021.04</v>
      </c>
      <c r="C4" s="16"/>
      <c r="D4" s="17"/>
      <c r="E4" s="44"/>
      <c r="F4" s="44"/>
      <c r="G4" s="44"/>
      <c r="H4" s="44"/>
      <c r="I4" s="18" t="s">
        <v>2</v>
      </c>
      <c r="J4" s="19"/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>
        <v>-1800</v>
      </c>
      <c r="B10" s="32">
        <v>-22.500000000468564</v>
      </c>
      <c r="C10" s="33">
        <v>0.9</v>
      </c>
      <c r="D10" s="34">
        <v>1E-10</v>
      </c>
      <c r="E10" s="34">
        <v>367416105.60555428</v>
      </c>
      <c r="G10" s="32"/>
      <c r="H10" s="32"/>
      <c r="I10" s="33"/>
      <c r="J10" s="34"/>
      <c r="K10" s="34"/>
    </row>
    <row r="11" spans="1:11" x14ac:dyDescent="0.35">
      <c r="A11">
        <v>-1541.1538637417125</v>
      </c>
      <c r="B11" s="32">
        <v>-66.54688201969438</v>
      </c>
      <c r="C11" s="33">
        <v>0.9</v>
      </c>
      <c r="D11" s="34">
        <v>12.069233544823762</v>
      </c>
      <c r="E11" s="34">
        <v>667268328.45129895</v>
      </c>
      <c r="G11" s="32"/>
      <c r="H11" s="32"/>
      <c r="I11" s="33"/>
      <c r="J11" s="34"/>
      <c r="K11" s="34"/>
    </row>
    <row r="12" spans="1:11" x14ac:dyDescent="0.35">
      <c r="A12">
        <v>-1282.3077274855696</v>
      </c>
      <c r="B12" s="32">
        <v>-108.09138038804299</v>
      </c>
      <c r="C12" s="33">
        <v>0.9</v>
      </c>
      <c r="D12" s="34">
        <v>24.138467089547525</v>
      </c>
      <c r="E12" s="34">
        <v>831934337.77082992</v>
      </c>
      <c r="G12" s="32"/>
      <c r="H12" s="32"/>
      <c r="I12" s="33"/>
      <c r="J12" s="34"/>
      <c r="K12" s="34"/>
    </row>
    <row r="13" spans="1:11" x14ac:dyDescent="0.35">
      <c r="A13">
        <v>-1023.4615912294265</v>
      </c>
      <c r="B13" s="32">
        <v>-147.13349510542119</v>
      </c>
      <c r="C13" s="33">
        <v>0.9</v>
      </c>
      <c r="D13" s="34">
        <v>36.207700634271291</v>
      </c>
      <c r="E13" s="34">
        <v>937810538.09073496</v>
      </c>
      <c r="G13" s="32"/>
      <c r="H13" s="32"/>
      <c r="I13" s="33"/>
      <c r="J13" s="34"/>
      <c r="K13" s="34"/>
    </row>
    <row r="14" spans="1:11" x14ac:dyDescent="0.35">
      <c r="A14">
        <v>-611.89030727849035</v>
      </c>
      <c r="B14" s="32">
        <v>-198.9457409413082</v>
      </c>
      <c r="C14" s="33">
        <v>0.9</v>
      </c>
      <c r="D14" s="34">
        <v>48.276934178995049</v>
      </c>
      <c r="E14" s="34">
        <v>1014134206.8144118</v>
      </c>
      <c r="G14" s="32"/>
      <c r="H14" s="32"/>
      <c r="I14" s="33"/>
      <c r="J14" s="34"/>
      <c r="K14" s="34"/>
    </row>
    <row r="15" spans="1:11" x14ac:dyDescent="0.35">
      <c r="A15">
        <v>66.410799437998918</v>
      </c>
      <c r="B15" s="32">
        <v>-274.92858540278007</v>
      </c>
      <c r="C15" s="33">
        <v>0.9</v>
      </c>
      <c r="D15" s="34">
        <v>60.346167723718807</v>
      </c>
      <c r="E15" s="34">
        <v>1074824863.8545358</v>
      </c>
      <c r="G15" s="32"/>
      <c r="H15" s="32"/>
      <c r="I15" s="33"/>
      <c r="J15" s="34"/>
      <c r="K15" s="34"/>
    </row>
    <row r="16" spans="1:11" x14ac:dyDescent="0.35">
      <c r="A16">
        <v>604.8935826678993</v>
      </c>
      <c r="B16" s="32">
        <v>-334.42721386462267</v>
      </c>
      <c r="C16" s="33">
        <v>0.9</v>
      </c>
      <c r="D16" s="34">
        <v>72.415401268442565</v>
      </c>
      <c r="E16" s="34">
        <v>1127596209.9794359</v>
      </c>
      <c r="G16" s="32"/>
      <c r="H16" s="32"/>
      <c r="I16" s="33"/>
      <c r="J16" s="34"/>
      <c r="K16" s="34"/>
    </row>
    <row r="17" spans="1:11" x14ac:dyDescent="0.35">
      <c r="A17">
        <v>1063.4801810482486</v>
      </c>
      <c r="B17" s="32">
        <v>-383.43384019053963</v>
      </c>
      <c r="C17" s="33">
        <v>0.9</v>
      </c>
      <c r="D17" s="34">
        <v>84.484634813166323</v>
      </c>
      <c r="E17" s="34">
        <v>1175385016.6036744</v>
      </c>
      <c r="G17" s="32"/>
      <c r="H17" s="32"/>
      <c r="I17" s="33"/>
      <c r="J17" s="34"/>
      <c r="K17" s="34"/>
    </row>
    <row r="18" spans="1:11" x14ac:dyDescent="0.35">
      <c r="A18">
        <v>1405.1941638975989</v>
      </c>
      <c r="B18" s="32">
        <v>-418.25082131238639</v>
      </c>
      <c r="C18" s="33">
        <v>0.9</v>
      </c>
      <c r="D18" s="34">
        <v>96.553868357890082</v>
      </c>
      <c r="E18" s="34">
        <v>1224542682.6923201</v>
      </c>
      <c r="G18" s="32"/>
      <c r="H18" s="32"/>
      <c r="I18" s="33"/>
      <c r="J18" s="34"/>
      <c r="K18" s="34"/>
    </row>
    <row r="19" spans="1:11" x14ac:dyDescent="0.35">
      <c r="A19">
        <v>1780.5555697262666</v>
      </c>
      <c r="B19" s="32">
        <v>-453.93016108119434</v>
      </c>
      <c r="C19" s="33">
        <v>0.9</v>
      </c>
      <c r="D19" s="34">
        <v>108.62310190261384</v>
      </c>
      <c r="E19" s="34">
        <v>1276375181.4916611</v>
      </c>
      <c r="G19" s="32"/>
      <c r="H19" s="32"/>
      <c r="I19" s="33"/>
      <c r="J19" s="34"/>
      <c r="K19" s="34"/>
    </row>
    <row r="20" spans="1:11" x14ac:dyDescent="0.35">
      <c r="A20">
        <v>2132.6139216404486</v>
      </c>
      <c r="B20" s="32">
        <v>-484.77681180758321</v>
      </c>
      <c r="C20" s="33">
        <v>0.9</v>
      </c>
      <c r="D20" s="34">
        <v>120.6923354473376</v>
      </c>
      <c r="E20" s="34">
        <v>1332833228.344491</v>
      </c>
      <c r="G20" s="32"/>
      <c r="H20" s="32"/>
      <c r="I20" s="33"/>
      <c r="J20" s="34"/>
      <c r="K20" s="34"/>
    </row>
    <row r="21" spans="1:11" x14ac:dyDescent="0.35">
      <c r="A21">
        <v>2467.7245979804547</v>
      </c>
      <c r="B21" s="32">
        <v>-511.42631132558409</v>
      </c>
      <c r="C21" s="33">
        <v>0.9</v>
      </c>
      <c r="D21" s="34">
        <v>132.76156899206137</v>
      </c>
      <c r="E21" s="34">
        <v>1395542744.1008079</v>
      </c>
      <c r="G21" s="32"/>
      <c r="H21" s="32"/>
      <c r="I21" s="33"/>
      <c r="J21" s="34"/>
      <c r="K21" s="34"/>
    </row>
    <row r="22" spans="1:11" x14ac:dyDescent="0.35">
      <c r="A22">
        <v>2790.1245176398256</v>
      </c>
      <c r="B22" s="32">
        <v>-534.302351524551</v>
      </c>
      <c r="C22" s="33">
        <v>0.9</v>
      </c>
      <c r="D22" s="34">
        <v>144.83080253678514</v>
      </c>
      <c r="E22" s="34">
        <v>1465919233.9952598</v>
      </c>
      <c r="G22" s="32"/>
      <c r="H22" s="32"/>
      <c r="I22" s="33"/>
      <c r="J22" s="34"/>
      <c r="K22" s="34"/>
    </row>
    <row r="23" spans="1:11" x14ac:dyDescent="0.35">
      <c r="A23">
        <v>3102.7469321602453</v>
      </c>
      <c r="B23" s="32">
        <v>-553.69825755865236</v>
      </c>
      <c r="C23" s="33">
        <v>0.9</v>
      </c>
      <c r="D23" s="34">
        <v>156.90003608150892</v>
      </c>
      <c r="E23" s="34">
        <v>1545237011.5758924</v>
      </c>
      <c r="G23" s="32"/>
      <c r="H23" s="32"/>
      <c r="I23" s="33"/>
      <c r="J23" s="34"/>
      <c r="K23" s="34"/>
    </row>
    <row r="24" spans="1:11" x14ac:dyDescent="0.35">
      <c r="A24">
        <v>3407.6870212143435</v>
      </c>
      <c r="B24" s="32">
        <v>-569.82354739515119</v>
      </c>
      <c r="C24" s="33">
        <v>0.9</v>
      </c>
      <c r="D24" s="34">
        <v>168.96926962623269</v>
      </c>
      <c r="E24" s="34">
        <v>1634672781.2680173</v>
      </c>
      <c r="G24" s="32"/>
      <c r="H24" s="32"/>
      <c r="I24" s="33"/>
      <c r="J24" s="34"/>
      <c r="K24" s="34"/>
    </row>
    <row r="25" spans="1:11" x14ac:dyDescent="0.35">
      <c r="A25">
        <v>3719.3880740997674</v>
      </c>
      <c r="B25" s="32">
        <v>-581.21851451782607</v>
      </c>
      <c r="C25" s="33">
        <v>0.9</v>
      </c>
      <c r="D25" s="34">
        <v>181.03850317095646</v>
      </c>
      <c r="E25" s="34">
        <v>1735334016.1136754</v>
      </c>
      <c r="G25" s="32"/>
      <c r="H25" s="32"/>
      <c r="I25" s="33"/>
      <c r="J25" s="34"/>
      <c r="K25" s="34"/>
    </row>
    <row r="26" spans="1:11" x14ac:dyDescent="0.35">
      <c r="A26">
        <v>4153.0071147148528</v>
      </c>
      <c r="B26" s="32">
        <v>-573.74780942387315</v>
      </c>
      <c r="C26" s="33">
        <v>0.9</v>
      </c>
      <c r="D26" s="34">
        <v>193.10773671568023</v>
      </c>
      <c r="E26" s="34">
        <v>1848277979.2793331</v>
      </c>
      <c r="G26" s="32"/>
      <c r="H26" s="32"/>
      <c r="I26" s="33"/>
      <c r="J26" s="34"/>
      <c r="K26" s="34"/>
    </row>
    <row r="27" spans="1:11" x14ac:dyDescent="0.35">
      <c r="A27">
        <v>4566.0646371700723</v>
      </c>
      <c r="B27" s="32">
        <v>-565.41964213173878</v>
      </c>
      <c r="C27" s="33">
        <v>0.9</v>
      </c>
      <c r="D27" s="34">
        <v>205.176970260404</v>
      </c>
      <c r="E27" s="34">
        <v>1974524800.7804599</v>
      </c>
      <c r="G27" s="32"/>
      <c r="H27" s="32"/>
      <c r="I27" s="33"/>
      <c r="J27" s="34"/>
      <c r="K27" s="34"/>
    </row>
    <row r="28" spans="1:11" x14ac:dyDescent="0.35">
      <c r="A28">
        <v>4961.9875611587368</v>
      </c>
      <c r="B28" s="32">
        <v>-555.95985906595854</v>
      </c>
      <c r="C28" s="33">
        <v>0.9</v>
      </c>
      <c r="D28" s="34">
        <v>217.24620380512778</v>
      </c>
      <c r="E28" s="34">
        <v>2115066669.6814656</v>
      </c>
      <c r="G28" s="32"/>
      <c r="H28" s="32"/>
      <c r="I28" s="33"/>
      <c r="J28" s="34"/>
      <c r="K28" s="34"/>
    </row>
    <row r="29" spans="1:11" x14ac:dyDescent="0.35">
      <c r="A29">
        <v>5335.0128974510644</v>
      </c>
      <c r="B29" s="32">
        <v>-544.30517797871573</v>
      </c>
      <c r="C29" s="33">
        <v>0.9</v>
      </c>
      <c r="D29" s="34">
        <v>229.31543734985155</v>
      </c>
      <c r="E29" s="34">
        <v>2270874424.5068636</v>
      </c>
      <c r="G29" s="32"/>
      <c r="H29" s="32"/>
      <c r="I29" s="33"/>
      <c r="J29" s="34"/>
      <c r="K29" s="34"/>
    </row>
    <row r="30" spans="1:11" x14ac:dyDescent="0.35">
      <c r="A30">
        <v>5682.1653432780604</v>
      </c>
      <c r="B30" s="32">
        <v>-529.76848193323951</v>
      </c>
      <c r="C30" s="33">
        <v>0.9</v>
      </c>
      <c r="D30" s="34">
        <v>241.38467089457532</v>
      </c>
      <c r="E30" s="34">
        <v>2442902362.3146062</v>
      </c>
      <c r="G30" s="32"/>
      <c r="H30" s="32"/>
      <c r="I30" s="33"/>
      <c r="J30" s="34"/>
      <c r="K30" s="34"/>
    </row>
    <row r="31" spans="1:11" x14ac:dyDescent="0.35">
      <c r="A31">
        <v>6020.9076643840272</v>
      </c>
      <c r="B31" s="32">
        <v>-513.78066782692179</v>
      </c>
      <c r="C31" s="33">
        <v>0.9</v>
      </c>
      <c r="D31" s="34">
        <v>253.45390443929909</v>
      </c>
      <c r="E31" s="34">
        <v>2632091803.9462352</v>
      </c>
      <c r="G31" s="32"/>
      <c r="H31" s="32"/>
      <c r="I31" s="33"/>
      <c r="J31" s="34"/>
      <c r="K31" s="34"/>
    </row>
    <row r="32" spans="1:11" x14ac:dyDescent="0.35">
      <c r="A32">
        <v>6352.3866959581937</v>
      </c>
      <c r="B32" s="32">
        <v>-496.19838126110864</v>
      </c>
      <c r="C32" s="33">
        <v>0.9</v>
      </c>
      <c r="D32" s="34">
        <v>265.52313798402287</v>
      </c>
      <c r="E32" s="34">
        <v>2839373775.2644258</v>
      </c>
      <c r="G32" s="32"/>
      <c r="H32" s="32"/>
      <c r="I32" s="33"/>
      <c r="J32" s="34"/>
      <c r="K32" s="34"/>
    </row>
    <row r="33" spans="1:11" x14ac:dyDescent="0.35">
      <c r="A33">
        <v>6677.5498235916639</v>
      </c>
      <c r="B33" s="32">
        <v>-476.90319903691164</v>
      </c>
      <c r="C33" s="33">
        <v>0.9</v>
      </c>
      <c r="D33" s="34">
        <v>277.59237152874664</v>
      </c>
      <c r="E33" s="34">
        <v>3065671049.9546528</v>
      </c>
      <c r="G33" s="32"/>
      <c r="H33" s="32"/>
      <c r="I33" s="33"/>
      <c r="J33" s="34"/>
      <c r="K33" s="34"/>
    </row>
    <row r="34" spans="1:11" x14ac:dyDescent="0.35">
      <c r="A34">
        <v>6997.1865352770274</v>
      </c>
      <c r="B34" s="32">
        <v>-455.79643515525794</v>
      </c>
      <c r="C34" s="33">
        <v>0.9</v>
      </c>
      <c r="D34" s="34">
        <v>289.66160507347041</v>
      </c>
      <c r="E34" s="34">
        <v>3311899724.4772682</v>
      </c>
      <c r="G34" s="32"/>
      <c r="H34" s="32"/>
      <c r="I34" s="33"/>
      <c r="J34" s="34"/>
      <c r="K34" s="34"/>
    </row>
    <row r="35" spans="1:11" x14ac:dyDescent="0.35">
      <c r="A35">
        <v>7311.9600009280539</v>
      </c>
      <c r="B35" s="32">
        <v>-432.79519337692591</v>
      </c>
      <c r="C35" s="33">
        <v>0.9</v>
      </c>
      <c r="D35" s="34">
        <v>301.73083861819418</v>
      </c>
      <c r="E35" s="34">
        <v>3375799001.3466816</v>
      </c>
      <c r="G35" s="32"/>
      <c r="H35" s="32"/>
      <c r="I35" s="33"/>
      <c r="J35" s="34"/>
      <c r="K35" s="34"/>
    </row>
    <row r="36" spans="1:11" x14ac:dyDescent="0.35">
      <c r="A36">
        <v>7622.4313643179366</v>
      </c>
      <c r="B36" s="32">
        <v>-407.82933073026618</v>
      </c>
      <c r="C36" s="33">
        <v>0.9</v>
      </c>
      <c r="D36" s="34">
        <v>313.80007216291796</v>
      </c>
      <c r="E36" s="34">
        <v>3663860201.6240935</v>
      </c>
      <c r="G36" s="32"/>
      <c r="H36" s="32"/>
      <c r="I36" s="33"/>
      <c r="J36" s="34"/>
      <c r="K36" s="34"/>
    </row>
    <row r="37" spans="1:11" x14ac:dyDescent="0.35">
      <c r="A37">
        <v>7929.0786368090257</v>
      </c>
      <c r="B37" s="32">
        <v>-380.83909579498538</v>
      </c>
      <c r="C37" s="33">
        <v>0.9</v>
      </c>
      <c r="D37" s="34">
        <v>325.86930570764173</v>
      </c>
      <c r="E37" s="34">
        <v>3974622872.538105</v>
      </c>
      <c r="G37" s="32"/>
      <c r="H37" s="32"/>
      <c r="I37" s="33"/>
      <c r="J37" s="34"/>
      <c r="K37" s="34"/>
    </row>
    <row r="38" spans="1:11" x14ac:dyDescent="0.35">
      <c r="A38">
        <v>8232.3115424261923</v>
      </c>
      <c r="B38" s="32">
        <v>-351.77327306797451</v>
      </c>
      <c r="C38" s="33">
        <v>0.9</v>
      </c>
      <c r="D38" s="34">
        <v>337.9385392523655</v>
      </c>
      <c r="E38" s="34">
        <v>4308981418.816762</v>
      </c>
      <c r="G38" s="32"/>
      <c r="H38" s="32"/>
      <c r="I38" s="33"/>
      <c r="J38" s="34"/>
      <c r="K38" s="34"/>
    </row>
    <row r="39" spans="1:11" x14ac:dyDescent="0.35">
      <c r="A39">
        <v>8532.4832915357001</v>
      </c>
      <c r="B39" s="32">
        <v>-320.58771125345021</v>
      </c>
      <c r="C39" s="33">
        <v>0.9</v>
      </c>
      <c r="D39" s="34">
        <v>350.00777279708927</v>
      </c>
      <c r="E39" s="34">
        <v>3880565041.2945881</v>
      </c>
      <c r="G39" s="32"/>
      <c r="H39" s="32"/>
      <c r="I39" s="33"/>
      <c r="J39" s="34"/>
      <c r="K39" s="34"/>
    </row>
    <row r="40" spans="1:11" x14ac:dyDescent="0.35">
      <c r="A40">
        <v>8829.9</v>
      </c>
      <c r="B40" s="32">
        <v>-287.24414589535286</v>
      </c>
      <c r="C40" s="33">
        <v>0.9</v>
      </c>
      <c r="D40" s="34">
        <v>362.07700634171283</v>
      </c>
      <c r="E40" s="34">
        <v>3880565041.2945881</v>
      </c>
      <c r="G40" s="32"/>
      <c r="H40" s="32"/>
      <c r="I40" s="33"/>
      <c r="J40" s="34"/>
      <c r="K40" s="34"/>
    </row>
    <row r="41" spans="1:11" x14ac:dyDescent="0.35">
      <c r="A41">
        <v>8829.9</v>
      </c>
      <c r="B41" s="32">
        <v>0</v>
      </c>
      <c r="C41" s="33">
        <v>0.9</v>
      </c>
      <c r="D41" s="34"/>
      <c r="E41" s="34"/>
      <c r="G41" s="32"/>
      <c r="H41" s="32"/>
      <c r="I41" s="33"/>
      <c r="J41" s="34"/>
      <c r="K41" s="34"/>
    </row>
    <row r="42" spans="1:11" x14ac:dyDescent="0.35">
      <c r="A42">
        <v>0</v>
      </c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>
        <v>-1800</v>
      </c>
      <c r="B43" s="32">
        <v>-22.499999999531436</v>
      </c>
      <c r="C43" s="33">
        <v>0.9</v>
      </c>
      <c r="D43" s="34">
        <v>1E-10</v>
      </c>
      <c r="E43" s="34">
        <v>367416105.60446185</v>
      </c>
      <c r="G43" s="32"/>
      <c r="H43" s="32"/>
      <c r="I43" s="33"/>
      <c r="J43" s="34"/>
      <c r="K43" s="34"/>
    </row>
    <row r="44" spans="1:11" x14ac:dyDescent="0.35">
      <c r="A44">
        <v>-1541.9272627944019</v>
      </c>
      <c r="B44" s="32">
        <v>21.419002816977986</v>
      </c>
      <c r="C44" s="33">
        <v>0.9</v>
      </c>
      <c r="D44" s="34">
        <v>12.033172223124366</v>
      </c>
      <c r="E44" s="34">
        <v>592197904.53405893</v>
      </c>
      <c r="G44" s="32"/>
      <c r="H44" s="32"/>
      <c r="I44" s="33"/>
      <c r="J44" s="34"/>
      <c r="K44" s="34"/>
    </row>
    <row r="45" spans="1:11" x14ac:dyDescent="0.35">
      <c r="A45">
        <v>-1283.8545255909485</v>
      </c>
      <c r="B45" s="32">
        <v>62.850553245618656</v>
      </c>
      <c r="C45" s="33">
        <v>0.9</v>
      </c>
      <c r="D45" s="34">
        <v>24.066344446148733</v>
      </c>
      <c r="E45" s="34">
        <v>716033328.26176119</v>
      </c>
      <c r="G45" s="32"/>
      <c r="H45" s="32"/>
      <c r="I45" s="33"/>
      <c r="J45" s="34"/>
      <c r="K45" s="34"/>
    </row>
    <row r="46" spans="1:11" x14ac:dyDescent="0.35">
      <c r="A46">
        <v>-645.61291711396666</v>
      </c>
      <c r="B46" s="32">
        <v>149.31576019548839</v>
      </c>
      <c r="C46" s="33">
        <v>0.9</v>
      </c>
      <c r="D46" s="34">
        <v>36.099516669173099</v>
      </c>
      <c r="E46" s="34">
        <v>796227907.65161455</v>
      </c>
      <c r="G46" s="32"/>
      <c r="H46" s="32"/>
      <c r="I46" s="33"/>
      <c r="J46" s="34"/>
      <c r="K46" s="34"/>
    </row>
    <row r="47" spans="1:11" x14ac:dyDescent="0.35">
      <c r="A47">
        <v>79.917602270133784</v>
      </c>
      <c r="B47" s="32">
        <v>244.20462862078591</v>
      </c>
      <c r="C47" s="33">
        <v>0.9</v>
      </c>
      <c r="D47" s="34">
        <v>48.132688892197464</v>
      </c>
      <c r="E47" s="34">
        <v>854884636.2362988</v>
      </c>
      <c r="G47" s="32"/>
      <c r="H47" s="32"/>
      <c r="I47" s="33"/>
      <c r="J47" s="34"/>
      <c r="K47" s="34"/>
    </row>
    <row r="48" spans="1:11" x14ac:dyDescent="0.35">
      <c r="A48">
        <v>618.46500878228528</v>
      </c>
      <c r="B48" s="32">
        <v>313.23315554912779</v>
      </c>
      <c r="C48" s="33">
        <v>0.9</v>
      </c>
      <c r="D48" s="34">
        <v>60.16586111522183</v>
      </c>
      <c r="E48" s="34">
        <v>902627794.21756566</v>
      </c>
      <c r="G48" s="32"/>
      <c r="H48" s="32"/>
      <c r="I48" s="33"/>
      <c r="J48" s="34"/>
      <c r="K48" s="34"/>
    </row>
    <row r="49" spans="1:11" x14ac:dyDescent="0.35">
      <c r="A49">
        <v>996.58335885833401</v>
      </c>
      <c r="B49" s="32">
        <v>359.72059803499485</v>
      </c>
      <c r="C49" s="33">
        <v>0.9</v>
      </c>
      <c r="D49" s="34">
        <v>72.199033338246196</v>
      </c>
      <c r="E49" s="34">
        <v>945490294.19498479</v>
      </c>
      <c r="G49" s="32"/>
      <c r="H49" s="32"/>
      <c r="I49" s="33"/>
      <c r="J49" s="34"/>
      <c r="K49" s="34"/>
    </row>
    <row r="50" spans="1:11" x14ac:dyDescent="0.35">
      <c r="A50">
        <v>1388.2154623994193</v>
      </c>
      <c r="B50" s="32">
        <v>405.40980731602946</v>
      </c>
      <c r="C50" s="33">
        <v>0.9</v>
      </c>
      <c r="D50" s="34">
        <v>84.232205561270561</v>
      </c>
      <c r="E50" s="34">
        <v>987137696.9197973</v>
      </c>
      <c r="G50" s="32"/>
      <c r="H50" s="32"/>
      <c r="I50" s="33"/>
      <c r="J50" s="34"/>
      <c r="K50" s="34"/>
    </row>
    <row r="51" spans="1:11" x14ac:dyDescent="0.35">
      <c r="A51">
        <v>1746.4577243561312</v>
      </c>
      <c r="B51" s="32">
        <v>444.43783401105543</v>
      </c>
      <c r="C51" s="33">
        <v>0.9</v>
      </c>
      <c r="D51" s="34">
        <v>96.265377784294927</v>
      </c>
      <c r="E51" s="34">
        <v>1030335068.1521579</v>
      </c>
      <c r="G51" s="32"/>
      <c r="H51" s="32"/>
      <c r="I51" s="33"/>
      <c r="J51" s="34"/>
      <c r="K51" s="34"/>
    </row>
    <row r="52" spans="1:11" x14ac:dyDescent="0.35">
      <c r="A52">
        <v>2082.4400919232503</v>
      </c>
      <c r="B52" s="32">
        <v>478.19592151942032</v>
      </c>
      <c r="C52" s="33">
        <v>0.9</v>
      </c>
      <c r="D52" s="34">
        <v>108.29855000731929</v>
      </c>
      <c r="E52" s="34">
        <v>1077171375.7774625</v>
      </c>
      <c r="G52" s="32"/>
      <c r="H52" s="32"/>
      <c r="I52" s="33"/>
      <c r="J52" s="34"/>
      <c r="K52" s="34"/>
    </row>
    <row r="53" spans="1:11" x14ac:dyDescent="0.35">
      <c r="A53">
        <v>2402.8405334176496</v>
      </c>
      <c r="B53" s="32">
        <v>507.51881588073314</v>
      </c>
      <c r="C53" s="33">
        <v>0.9</v>
      </c>
      <c r="D53" s="34">
        <v>120.33172223034366</v>
      </c>
      <c r="E53" s="34">
        <v>1129336470.7453709</v>
      </c>
      <c r="G53" s="32"/>
      <c r="H53" s="32"/>
      <c r="I53" s="33"/>
      <c r="J53" s="34"/>
      <c r="K53" s="34"/>
    </row>
    <row r="54" spans="1:11" x14ac:dyDescent="0.35">
      <c r="A54">
        <v>2711.9086650409768</v>
      </c>
      <c r="B54" s="32">
        <v>532.93771912019986</v>
      </c>
      <c r="C54" s="33">
        <v>0.9</v>
      </c>
      <c r="D54" s="34">
        <v>132.36489445336804</v>
      </c>
      <c r="E54" s="34">
        <v>1188272213.0861273</v>
      </c>
      <c r="G54" s="32"/>
      <c r="H54" s="32"/>
      <c r="I54" s="33"/>
      <c r="J54" s="34"/>
      <c r="K54" s="34"/>
    </row>
    <row r="55" spans="1:11" x14ac:dyDescent="0.35">
      <c r="A55">
        <v>3012.4775642609961</v>
      </c>
      <c r="B55" s="32">
        <v>554.80676592129134</v>
      </c>
      <c r="C55" s="33">
        <v>0.9</v>
      </c>
      <c r="D55" s="34">
        <v>144.3980666763924</v>
      </c>
      <c r="E55" s="34">
        <v>1255259763.3183491</v>
      </c>
      <c r="G55" s="32"/>
      <c r="H55" s="32"/>
      <c r="I55" s="33"/>
      <c r="J55" s="34"/>
      <c r="K55" s="34"/>
    </row>
    <row r="56" spans="1:11" x14ac:dyDescent="0.35">
      <c r="A56">
        <v>3288.0080836470388</v>
      </c>
      <c r="B56" s="32">
        <v>571.05856285517359</v>
      </c>
      <c r="C56" s="33">
        <v>0.9</v>
      </c>
      <c r="D56" s="34">
        <v>156.43123889941677</v>
      </c>
      <c r="E56" s="34">
        <v>1331472427.537838</v>
      </c>
      <c r="G56" s="32"/>
      <c r="H56" s="32"/>
      <c r="I56" s="33"/>
      <c r="J56" s="34"/>
      <c r="K56" s="34"/>
    </row>
    <row r="57" spans="1:11" x14ac:dyDescent="0.35">
      <c r="A57">
        <v>3592.3512762752116</v>
      </c>
      <c r="B57" s="32">
        <v>578.0136390857981</v>
      </c>
      <c r="C57" s="33">
        <v>0.9</v>
      </c>
      <c r="D57" s="34">
        <v>168.46441112244113</v>
      </c>
      <c r="E57" s="34">
        <v>1418008936.015656</v>
      </c>
      <c r="G57" s="32"/>
      <c r="H57" s="32"/>
      <c r="I57" s="33"/>
      <c r="J57" s="34"/>
      <c r="K57" s="34"/>
    </row>
    <row r="58" spans="1:11" x14ac:dyDescent="0.35">
      <c r="A58">
        <v>3997.3393164502691</v>
      </c>
      <c r="B58" s="32">
        <v>572.41677817377229</v>
      </c>
      <c r="C58" s="33">
        <v>0.9</v>
      </c>
      <c r="D58" s="34">
        <v>180.4975833454655</v>
      </c>
      <c r="E58" s="34">
        <v>1515915116.2031965</v>
      </c>
      <c r="G58" s="32"/>
      <c r="H58" s="32"/>
      <c r="I58" s="33"/>
      <c r="J58" s="34"/>
      <c r="K58" s="34"/>
    </row>
    <row r="59" spans="1:11" x14ac:dyDescent="0.35">
      <c r="A59">
        <v>4383.9629437538852</v>
      </c>
      <c r="B59" s="32">
        <v>566.1689061609286</v>
      </c>
      <c r="C59" s="33">
        <v>0.9</v>
      </c>
      <c r="D59" s="34">
        <v>192.53075556848987</v>
      </c>
      <c r="E59" s="34">
        <v>1626198422.6636612</v>
      </c>
      <c r="G59" s="32"/>
      <c r="H59" s="32"/>
      <c r="I59" s="33"/>
      <c r="J59" s="34"/>
      <c r="K59" s="34"/>
    </row>
    <row r="60" spans="1:11" x14ac:dyDescent="0.35">
      <c r="A60">
        <v>4755.4629369280792</v>
      </c>
      <c r="B60" s="32">
        <v>558.9459451730653</v>
      </c>
      <c r="C60" s="33">
        <v>0.9</v>
      </c>
      <c r="D60" s="34">
        <v>204.56392779151423</v>
      </c>
      <c r="E60" s="34">
        <v>1749837927.5283389</v>
      </c>
      <c r="G60" s="32"/>
      <c r="H60" s="32"/>
      <c r="I60" s="33"/>
      <c r="J60" s="34"/>
      <c r="K60" s="34"/>
    </row>
    <row r="61" spans="1:11" x14ac:dyDescent="0.35">
      <c r="A61">
        <v>5114.3599016610842</v>
      </c>
      <c r="B61" s="32">
        <v>550.49583464135867</v>
      </c>
      <c r="C61" s="33">
        <v>0.9</v>
      </c>
      <c r="D61" s="34">
        <v>216.5971000145386</v>
      </c>
      <c r="E61" s="34">
        <v>1887791344.1915698</v>
      </c>
      <c r="G61" s="32"/>
      <c r="H61" s="32"/>
      <c r="I61" s="33"/>
      <c r="J61" s="34"/>
      <c r="K61" s="34"/>
    </row>
    <row r="62" spans="1:11" x14ac:dyDescent="0.35">
      <c r="A62">
        <v>5462.6437898120348</v>
      </c>
      <c r="B62" s="32">
        <v>540.61957937989519</v>
      </c>
      <c r="C62" s="33">
        <v>0.9</v>
      </c>
      <c r="D62" s="34">
        <v>228.63027223756296</v>
      </c>
      <c r="E62" s="34">
        <v>2041000063.6149249</v>
      </c>
      <c r="G62" s="32"/>
      <c r="H62" s="32"/>
      <c r="I62" s="33"/>
      <c r="J62" s="34"/>
      <c r="K62" s="34"/>
    </row>
    <row r="63" spans="1:11" x14ac:dyDescent="0.35">
      <c r="A63">
        <v>5801.9065628682429</v>
      </c>
      <c r="B63" s="32">
        <v>529.15798323994466</v>
      </c>
      <c r="C63" s="33">
        <v>0.9</v>
      </c>
      <c r="D63" s="34">
        <v>240.66344446058733</v>
      </c>
      <c r="E63" s="34">
        <v>2210392829.7606483</v>
      </c>
      <c r="G63" s="32"/>
      <c r="H63" s="32"/>
      <c r="I63" s="33"/>
      <c r="J63" s="34"/>
      <c r="K63" s="34"/>
    </row>
    <row r="64" spans="1:11" x14ac:dyDescent="0.35">
      <c r="A64">
        <v>6133.4369515575208</v>
      </c>
      <c r="B64" s="32">
        <v>515.98217314872454</v>
      </c>
      <c r="C64" s="33">
        <v>0.9</v>
      </c>
      <c r="D64" s="34">
        <v>252.69661668361169</v>
      </c>
      <c r="E64" s="34">
        <v>2396888464.6774712</v>
      </c>
      <c r="G64" s="32"/>
      <c r="H64" s="32"/>
      <c r="I64" s="33"/>
      <c r="J64" s="34"/>
      <c r="K64" s="34"/>
    </row>
    <row r="65" spans="1:11" x14ac:dyDescent="0.35">
      <c r="A65">
        <v>6458.28937192991</v>
      </c>
      <c r="B65" s="32">
        <v>500.98670750123154</v>
      </c>
      <c r="C65" s="33">
        <v>0.9</v>
      </c>
      <c r="D65" s="34">
        <v>264.72978890663603</v>
      </c>
      <c r="E65" s="34">
        <v>2601397918.0785365</v>
      </c>
      <c r="G65" s="32"/>
      <c r="H65" s="32"/>
      <c r="I65" s="33"/>
      <c r="J65" s="34"/>
      <c r="K65" s="34"/>
    </row>
    <row r="66" spans="1:11" x14ac:dyDescent="0.35">
      <c r="A66">
        <v>6777.3348633310898</v>
      </c>
      <c r="B66" s="32">
        <v>484.0844823628974</v>
      </c>
      <c r="C66" s="33">
        <v>0.9</v>
      </c>
      <c r="D66" s="34">
        <v>276.76296112966043</v>
      </c>
      <c r="E66" s="34">
        <v>2654607775.5235381</v>
      </c>
      <c r="G66" s="32"/>
      <c r="H66" s="32"/>
      <c r="I66" s="33"/>
      <c r="J66" s="34"/>
      <c r="K66" s="34"/>
    </row>
    <row r="67" spans="1:11" x14ac:dyDescent="0.35">
      <c r="A67">
        <v>7091.2992918824621</v>
      </c>
      <c r="B67" s="32">
        <v>465.20291112158208</v>
      </c>
      <c r="C67" s="33">
        <v>0.9</v>
      </c>
      <c r="D67" s="34">
        <v>288.79613335268482</v>
      </c>
      <c r="E67" s="34">
        <v>2897150040.210115</v>
      </c>
      <c r="G67" s="32"/>
      <c r="H67" s="32"/>
      <c r="I67" s="33"/>
      <c r="J67" s="34"/>
      <c r="K67" s="34"/>
    </row>
    <row r="68" spans="1:11" x14ac:dyDescent="0.35">
      <c r="A68">
        <v>7400.792385126003</v>
      </c>
      <c r="B68" s="32">
        <v>444.28102102308799</v>
      </c>
      <c r="C68" s="33">
        <v>0.9</v>
      </c>
      <c r="D68" s="34">
        <v>300.82930557570921</v>
      </c>
      <c r="E68" s="34">
        <v>3160456285.0777187</v>
      </c>
      <c r="G68" s="32"/>
      <c r="H68" s="32"/>
      <c r="I68" s="33"/>
      <c r="J68" s="34"/>
      <c r="K68" s="34"/>
    </row>
    <row r="69" spans="1:11" x14ac:dyDescent="0.35">
      <c r="A69">
        <v>7706.3300663664577</v>
      </c>
      <c r="B69" s="32">
        <v>421.26721973694015</v>
      </c>
      <c r="C69" s="33">
        <v>0.9</v>
      </c>
      <c r="D69" s="34">
        <v>312.86247779873361</v>
      </c>
      <c r="E69" s="34">
        <v>3445413174.7063961</v>
      </c>
      <c r="G69" s="32"/>
      <c r="H69" s="32"/>
      <c r="I69" s="33"/>
      <c r="J69" s="34"/>
      <c r="K69" s="34"/>
    </row>
    <row r="70" spans="1:11" x14ac:dyDescent="0.35">
      <c r="A70">
        <v>8008.3518258263985</v>
      </c>
      <c r="B70" s="32">
        <v>396.11755824088203</v>
      </c>
      <c r="C70" s="33">
        <v>0.9</v>
      </c>
      <c r="D70" s="34">
        <v>324.895650021758</v>
      </c>
      <c r="E70" s="34">
        <v>3752905238.3453341</v>
      </c>
      <c r="G70" s="32"/>
      <c r="H70" s="32"/>
      <c r="I70" s="33"/>
      <c r="J70" s="34"/>
      <c r="K70" s="34"/>
    </row>
    <row r="71" spans="1:11" x14ac:dyDescent="0.35">
      <c r="A71">
        <v>8307.2343694108768</v>
      </c>
      <c r="B71" s="32">
        <v>368.79436594440807</v>
      </c>
      <c r="C71" s="33">
        <v>0.9</v>
      </c>
      <c r="D71" s="34">
        <v>336.9288222447824</v>
      </c>
      <c r="E71" s="34">
        <v>4083815225.8367691</v>
      </c>
      <c r="G71" s="32"/>
      <c r="H71" s="32"/>
      <c r="I71" s="33"/>
      <c r="J71" s="34"/>
      <c r="K71" s="34"/>
    </row>
    <row r="72" spans="1:11" x14ac:dyDescent="0.35">
      <c r="A72">
        <v>8536.3649435897642</v>
      </c>
      <c r="B72" s="32">
        <v>345.95891820053089</v>
      </c>
      <c r="C72" s="33">
        <v>0.9</v>
      </c>
      <c r="D72" s="34">
        <v>348.96199446780679</v>
      </c>
      <c r="E72" s="34">
        <v>4439024394.6447563</v>
      </c>
      <c r="G72" s="32"/>
      <c r="H72" s="32"/>
      <c r="I72" s="33"/>
      <c r="J72" s="34"/>
      <c r="K72" s="34"/>
    </row>
    <row r="73" spans="1:11" x14ac:dyDescent="0.35">
      <c r="A73">
        <v>8829.9</v>
      </c>
      <c r="B73" s="32">
        <v>314.19557031546839</v>
      </c>
      <c r="C73" s="33">
        <v>0.9</v>
      </c>
      <c r="D73" s="34">
        <v>360.99516669073097</v>
      </c>
      <c r="E73" s="34">
        <v>3880565041.2945881</v>
      </c>
      <c r="G73" s="32"/>
      <c r="H73" s="32"/>
      <c r="I73" s="33"/>
      <c r="J73" s="34"/>
      <c r="K73" s="34"/>
    </row>
    <row r="74" spans="1:11" x14ac:dyDescent="0.35">
      <c r="A74">
        <v>8829.9</v>
      </c>
      <c r="B74" s="32">
        <v>0</v>
      </c>
      <c r="C74" s="33">
        <v>0.9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9CE9F12D-EAF2-400A-BEA3-5BC92D4C38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1B64E865AF049B20A5C3366A924EB" ma:contentTypeVersion="13" ma:contentTypeDescription="Create a new document." ma:contentTypeScope="" ma:versionID="2db897fd7638951ede3161f8f25e5bd6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baf91899a129946f5d55dff89d199a2d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3AE424-46B0-46B1-827C-9D4B72E27C69}">
  <ds:schemaRefs>
    <ds:schemaRef ds:uri="http://schemas.microsoft.com/office/2006/metadata/properties"/>
    <ds:schemaRef ds:uri="http://schemas.microsoft.com/office/infopath/2007/PartnerControls"/>
    <ds:schemaRef ds:uri="0cecb452-595f-4b09-9a2b-5821f34c1115"/>
    <ds:schemaRef ds:uri="e71b708c-f31f-4bef-8390-69ad37fbb32e"/>
  </ds:schemaRefs>
</ds:datastoreItem>
</file>

<file path=customXml/itemProps2.xml><?xml version="1.0" encoding="utf-8"?>
<ds:datastoreItem xmlns:ds="http://schemas.openxmlformats.org/officeDocument/2006/customXml" ds:itemID="{E871DA54-4C7B-422C-B65D-DD29B2874F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E47EE4-F0A3-435C-A1AB-31B37946F8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cb452-595f-4b09-9a2b-5821f34c1115"/>
    <ds:schemaRef ds:uri="e71b708c-f31f-4bef-8390-69ad37fbb3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10M-200</vt:lpstr>
      <vt:lpstr>15M-200</vt:lpstr>
      <vt:lpstr>25M-200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Rivero, Ignacio</dc:creator>
  <cp:lastModifiedBy>Rivero, Ignacio</cp:lastModifiedBy>
  <dcterms:created xsi:type="dcterms:W3CDTF">2015-06-05T18:17:20Z</dcterms:created>
  <dcterms:modified xsi:type="dcterms:W3CDTF">2026-04-29T12:42:24Z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  <property fmtid="{D5CDD505-2E9C-101B-9397-08002B2CF9AE}" pid="3" name="MediaServiceImageTags">
    <vt:lpwstr/>
  </property>
</Properties>
</file>