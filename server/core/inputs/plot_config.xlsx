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Final\server\core\"/>
    </mc:Choice>
  </mc:AlternateContent>
  <bookViews>
    <workbookView xWindow="-105" yWindow="-105" windowWidth="19425" windowHeight="11505"/>
  </bookViews>
  <sheets>
    <sheet name="TypicalSection" sheetId="13" r:id="rId1"/>
    <sheet name="TypicalSection_EQ_skip" sheetId="15" r:id="rId2"/>
    <sheet name="TypicalSection_Invert_sides" sheetId="12" r:id="rId3"/>
    <sheet name="TypicalSection_In_sid_EQ_Skip" sheetId="17" r:id="rId4"/>
    <sheet name="TypicalSection_Invert_central" sheetId="16" r:id="rId5"/>
    <sheet name="TypicalSection_Invert__EQ_skip" sheetId="18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8" l="1"/>
  <c r="J3" i="18"/>
  <c r="Q4" i="18"/>
  <c r="Q4" i="17"/>
  <c r="Q3" i="18"/>
  <c r="Q6" i="18"/>
  <c r="J6" i="18"/>
  <c r="Y3" i="16"/>
  <c r="R3" i="16"/>
  <c r="K3" i="16"/>
  <c r="J4" i="17"/>
  <c r="J5" i="17" s="1"/>
  <c r="J6" i="17" s="1"/>
  <c r="J7" i="17" s="1"/>
  <c r="J3" i="17"/>
  <c r="J4" i="18"/>
  <c r="J5" i="18" s="1"/>
  <c r="J7" i="18" s="1"/>
  <c r="J4" i="12"/>
  <c r="J5" i="12"/>
  <c r="J6" i="12" s="1"/>
  <c r="J7" i="12" s="1"/>
  <c r="J3" i="12"/>
  <c r="Q5" i="18" l="1"/>
  <c r="Q7" i="18" s="1"/>
  <c r="K4" i="18"/>
  <c r="Q5" i="17"/>
  <c r="Q6" i="17" s="1"/>
  <c r="Q7" i="17" s="1"/>
  <c r="Y4" i="16"/>
  <c r="R4" i="16"/>
  <c r="R5" i="16" s="1"/>
  <c r="R6" i="16" s="1"/>
  <c r="K4" i="16"/>
  <c r="K5" i="16" s="1"/>
  <c r="K6" i="16" s="1"/>
  <c r="Q4" i="15"/>
  <c r="Q5" i="15" s="1"/>
  <c r="Q6" i="15" s="1"/>
  <c r="Q7" i="15" s="1"/>
  <c r="Q3" i="15"/>
  <c r="K3" i="15"/>
  <c r="K4" i="15" s="1"/>
  <c r="K5" i="15" s="1"/>
  <c r="K6" i="15" s="1"/>
  <c r="K7" i="15" s="1"/>
  <c r="K5" i="18" l="1"/>
  <c r="K7" i="18" s="1"/>
  <c r="K6" i="18"/>
  <c r="Y5" i="16"/>
  <c r="K4" i="17"/>
  <c r="K5" i="17" s="1"/>
  <c r="K6" i="17" s="1"/>
  <c r="K7" i="17" s="1"/>
  <c r="R7" i="16"/>
  <c r="K7" i="16"/>
  <c r="Y4" i="12"/>
  <c r="Y5" i="12" s="1"/>
  <c r="Y6" i="12" s="1"/>
  <c r="Y7" i="12" s="1"/>
  <c r="R4" i="12"/>
  <c r="R5" i="12" s="1"/>
  <c r="R6" i="12" s="1"/>
  <c r="R7" i="12" s="1"/>
  <c r="K4" i="12"/>
  <c r="K5" i="12" s="1"/>
  <c r="K6" i="12" s="1"/>
  <c r="K7" i="12" s="1"/>
  <c r="Y3" i="13"/>
  <c r="Y4" i="13" s="1"/>
  <c r="Y5" i="13" s="1"/>
  <c r="Y6" i="13" s="1"/>
  <c r="Y7" i="13" s="1"/>
  <c r="R3" i="13"/>
  <c r="R4" i="13" s="1"/>
  <c r="R5" i="13" s="1"/>
  <c r="R6" i="13" s="1"/>
  <c r="R7" i="13" s="1"/>
  <c r="K3" i="13"/>
  <c r="K4" i="13" s="1"/>
  <c r="K5" i="13" s="1"/>
  <c r="K6" i="13" s="1"/>
  <c r="K7" i="13" s="1"/>
  <c r="Y7" i="16" l="1"/>
  <c r="Y6" i="16"/>
</calcChain>
</file>

<file path=xl/sharedStrings.xml><?xml version="1.0" encoding="utf-8"?>
<sst xmlns="http://schemas.openxmlformats.org/spreadsheetml/2006/main" count="587" uniqueCount="127">
  <si>
    <t>Graph_Title</t>
  </si>
  <si>
    <t>Diag_File</t>
  </si>
  <si>
    <t>Diag_Sheet</t>
  </si>
  <si>
    <t>Diag_Label</t>
  </si>
  <si>
    <t>File1_Path</t>
  </si>
  <si>
    <t>File1_Sheet</t>
  </si>
  <si>
    <t>File1_Start</t>
  </si>
  <si>
    <t>File1_End</t>
  </si>
  <si>
    <t>File1_ColX</t>
  </si>
  <si>
    <t>File1_ColY</t>
  </si>
  <si>
    <t>File1_Label</t>
  </si>
  <si>
    <t>File2_Path</t>
  </si>
  <si>
    <t>File2_Sheet</t>
  </si>
  <si>
    <t>File2_Start</t>
  </si>
  <si>
    <t>File2_End</t>
  </si>
  <si>
    <t>File2_ColX</t>
  </si>
  <si>
    <t>File2_ColY</t>
  </si>
  <si>
    <t>File2_Label</t>
  </si>
  <si>
    <t>File3_Path</t>
  </si>
  <si>
    <t>File3_Sheet</t>
  </si>
  <si>
    <t>File3_Start</t>
  </si>
  <si>
    <t>File3_End</t>
  </si>
  <si>
    <t>File3_ColX</t>
  </si>
  <si>
    <t>File3_ColY</t>
  </si>
  <si>
    <t>File3_Label</t>
  </si>
  <si>
    <t>File4_Path</t>
  </si>
  <si>
    <t>File4_Sheet</t>
  </si>
  <si>
    <t>File4_Start</t>
  </si>
  <si>
    <t>File4_End</t>
  </si>
  <si>
    <t>File4_ColX</t>
  </si>
  <si>
    <t>File4_ColY</t>
  </si>
  <si>
    <t>File4_Label</t>
  </si>
  <si>
    <t>File5_Path</t>
  </si>
  <si>
    <t>File5_Sheet</t>
  </si>
  <si>
    <t>File5_Start</t>
  </si>
  <si>
    <t>File5_End</t>
  </si>
  <si>
    <t>File5_ColX</t>
  </si>
  <si>
    <t>File5_ColY</t>
  </si>
  <si>
    <t>File5_Label</t>
  </si>
  <si>
    <t>File6_Path</t>
  </si>
  <si>
    <t>File6_Sheet</t>
  </si>
  <si>
    <t>File6_Start</t>
  </si>
  <si>
    <t>File6_End</t>
  </si>
  <si>
    <t>File6_ColX</t>
  </si>
  <si>
    <t>File6_ColY</t>
  </si>
  <si>
    <t>File6_Label</t>
  </si>
  <si>
    <t>Typical Section Crown</t>
  </si>
  <si>
    <t>Strenght T-I</t>
  </si>
  <si>
    <t>Diag_ColP</t>
  </si>
  <si>
    <t>Diag_ColM</t>
  </si>
  <si>
    <t>Diag_1RowStart</t>
  </si>
  <si>
    <t>Diag_1RowEnd</t>
  </si>
  <si>
    <t>Diag_2RowStart</t>
  </si>
  <si>
    <t>Diag_2RowEnd</t>
  </si>
  <si>
    <t>10M-200</t>
  </si>
  <si>
    <t>15M-200</t>
  </si>
  <si>
    <t>Typical Section Crown, X, M11 (10M @ 200)</t>
  </si>
  <si>
    <t>Typical Section Crown, X, M11 (15M @ 200)</t>
  </si>
  <si>
    <t>Typical Section Crown, X, M11 (25M @ 200)</t>
  </si>
  <si>
    <t>25M-200</t>
  </si>
  <si>
    <t>Typical Section Crown, Y, M22 (10M @ 200)</t>
  </si>
  <si>
    <t>Typical Section Crown, Y, M22 (15M @ 200)</t>
  </si>
  <si>
    <t>Typical Section Crown, Y, M22 (25M @ 200)</t>
  </si>
  <si>
    <t>20M-200</t>
  </si>
  <si>
    <t>Extreme (Derail)</t>
  </si>
  <si>
    <t>Extreme (Fire event)</t>
  </si>
  <si>
    <t>ShellForces</t>
  </si>
  <si>
    <t>Typical Section Invert-central</t>
  </si>
  <si>
    <t>10M-200_EQ</t>
  </si>
  <si>
    <t>15M-200_EQ</t>
  </si>
  <si>
    <t>25M-200_EQ</t>
  </si>
  <si>
    <t>Extreme T-I EQ</t>
  </si>
  <si>
    <t>20M-200_central</t>
  </si>
  <si>
    <t>Typical Section Invert - central</t>
  </si>
  <si>
    <t>15M-200_central</t>
  </si>
  <si>
    <t>20M-200_EQ</t>
  </si>
  <si>
    <t>Typical Section Invert, X, M11 (15M @ 200) - Earthquake</t>
  </si>
  <si>
    <t>Typical Section Invert, X, M11 (25M @ 200) - Earthquake</t>
  </si>
  <si>
    <t>Typical Section Invert, Y, M22 (15M @ 200) - Earthquake</t>
  </si>
  <si>
    <t>Typical Section Invert, Y, M22 (20M @ 200) - Earthquake</t>
  </si>
  <si>
    <t>Typical Section Invert (central), X, M11 (15M @ 200) - Earthquake - Earthquake</t>
  </si>
  <si>
    <t>Typical Section Invert (central), X, M11 (25M @ 200) - Earthquake</t>
  </si>
  <si>
    <t>Typical Section Invert (central), Y, M22 (15M @ 200) - Earthquake</t>
  </si>
  <si>
    <t>Typical Section Invert (central), Y, M22 (20M @ 200) - Earthquake</t>
  </si>
  <si>
    <t>Typical Section Invert (central), X, M11 (15M @ 200)</t>
  </si>
  <si>
    <t>Typical Section Invert (central), X, M11 (25M @ 200)</t>
  </si>
  <si>
    <t>Typical Section Invert (central), Y, M22 (15M @ 200)</t>
  </si>
  <si>
    <t>Typical Section Invert (central), Y, M22 (20M @ 200)</t>
  </si>
  <si>
    <t>Typical Section Invert, X, M11 (20M @ 200) - Earthquake</t>
  </si>
  <si>
    <t>Typical Section Invert, Y, M22 (25M @ 200) - Earthquake</t>
  </si>
  <si>
    <t>Typical Section Invert - sides</t>
  </si>
  <si>
    <t>Typical Section Invert - sides (EQ)</t>
  </si>
  <si>
    <t>Typical Section Invert-central (EQ)</t>
  </si>
  <si>
    <t>Typical Section Invert (central), X, M11 (20M @ 200)</t>
  </si>
  <si>
    <t>25M-200_central</t>
  </si>
  <si>
    <t>Typical Section Invert (central), Y, M22 (25M @ 200) - Earthquake</t>
  </si>
  <si>
    <t>Typical Section Invert (central), X, M11 (20M @ 200) - Earthquake</t>
  </si>
  <si>
    <t>Typical Section Crown, X, M11 (10M @ 200) -  Earthquake</t>
  </si>
  <si>
    <t>Typical Section Crown, X, M11 (15M @ 200) -  Earthquake</t>
  </si>
  <si>
    <t>Typical Section Crown, X, M11 (25M @ 200) -  Earthquake</t>
  </si>
  <si>
    <t>Typical Section Crown, Y, M22 (10M @ 200) -  Earthquake</t>
  </si>
  <si>
    <t>Typical Section Crown, Y, M22 (15M @ 200) -  Earthquake</t>
  </si>
  <si>
    <t>Typical Section Crown, Y, M22 (25M @ 200) -  Earthquake</t>
  </si>
  <si>
    <t>Typical Section Invert (central), Y, M22 (25M @ 200)</t>
  </si>
  <si>
    <t>15M-200_EQ_central</t>
  </si>
  <si>
    <t>20M-200_EQ_central</t>
  </si>
  <si>
    <t>25M-200_EQ_central</t>
  </si>
  <si>
    <t>Typical Section Invert (sides), X, M11 (15M @ 200)</t>
  </si>
  <si>
    <t>Typical Section Invert (sides), X, M11 (20M @ 200)</t>
  </si>
  <si>
    <t>Typical Section Invert (sides), X, M11 (25M @ 200)</t>
  </si>
  <si>
    <t>Typical Section Invert (sides), Y, M22 (15M @ 200)</t>
  </si>
  <si>
    <t>Typical Section Invert (sides), Y, M22 (20M @ 200)</t>
  </si>
  <si>
    <t>Typical Section Invert (sides), Y, M22 (25M @ 200)</t>
  </si>
  <si>
    <t>TypicalSection.xlsx</t>
  </si>
  <si>
    <t>results_TypicalSection_Strength T-I.xlsx</t>
  </si>
  <si>
    <t>results_TypicalSection_Extreme T-I Derailment.xlsx</t>
  </si>
  <si>
    <t>results_TypicalSection_Extreme T-I Fire.xlsx</t>
  </si>
  <si>
    <t>results_TypicalSection_Extreme T-I EQ.xlsx</t>
  </si>
  <si>
    <t>TypicalSection_Invert.xlsx</t>
  </si>
  <si>
    <t>results_TypicalSection_Invert_sides_Strength T-I.xlsx</t>
  </si>
  <si>
    <t>results_TypicalSection_Invert_sides_Extreme T-I Derailment.xlsx</t>
  </si>
  <si>
    <t>results_TypicalSection_Invert_sides_Extreme T-I Fire.xlsx</t>
  </si>
  <si>
    <t>results_TypicalSection_Invert_sides_Extreme T-I EQ.xlsx</t>
  </si>
  <si>
    <t>results_TypicalSection_Invert_Central_Strength T-I.xlsx</t>
  </si>
  <si>
    <t>results_TypicalSection_Invert_Central_Extreme T-I Derailment.xlsx</t>
  </si>
  <si>
    <t>results_TypicalSection_Invert_Central_Extreme T-I Fire.xlsx</t>
  </si>
  <si>
    <t>results_TypicalSection_Invert_Central_Extreme T-I EQ.xlsx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</si>
</sst>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vero, Ignacio" id="{9195275E-ACFB-48A6-94B1-33F9CF5574E8}" userId="S::ignacio.rivero@aecom.com::7f36cedf-644c-4e04-abb0-5c1bb6a635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29T11:49:40.96" personId="{9195275E-ACFB-48A6-94B1-33F9CF5574E8}" id="{E6ACF3DF-E966-41DE-87D7-B4C49BC35C43}">
    <text>The shortCol files are not readable, so results need to be pasted elsewhere</text>
  </threadedComment>
  <threadedComment ref="B3" dT="2026-04-29T11:49:40.96" personId="{9195275E-ACFB-48A6-94B1-33F9CF5574E8}" id="{D65A2B75-BA15-41EF-BDFA-8265C10225E7}">
    <text>The shortCol files are not readable, so results need to be pasted elsewhere</text>
  </threadedComment>
  <threadedComment ref="B4" dT="2026-04-29T11:49:40.96" personId="{9195275E-ACFB-48A6-94B1-33F9CF5574E8}" id="{B1D3653D-ECEF-4C36-AE11-8B7EA5239CF6}">
    <text>The shortCol files are not readable, so results need to be pasted elsewhere</text>
  </threadedComment>
  <threadedComment ref="B5" dT="2026-04-29T11:49:40.96" personId="{9195275E-ACFB-48A6-94B1-33F9CF5574E8}" id="{65DEE5DB-5B2C-475C-8BFD-190C28FC2C27}">
    <text>The shortCol files are not readable, so results need to be pasted elsewhere</text>
  </threadedComment>
  <threadedComment ref="B6" dT="2026-04-29T11:49:40.96" personId="{9195275E-ACFB-48A6-94B1-33F9CF5574E8}" id="{7AEB72B0-3CD1-43DD-B4B3-704E738C5236}">
    <text>The shortCol files are not readable, so results need to be pasted elsewhere</text>
  </threadedComment>
  <threadedComment ref="B7" dT="2026-04-29T11:49:40.96" personId="{9195275E-ACFB-48A6-94B1-33F9CF5574E8}" id="{47D73DFC-0313-491F-BA0F-468B96E28F7E}">
    <text>The shortCol files are not readable, so results need to be pasted elsewhere</text>
  </threadedComment>
  <threadedComment ref="B8" dT="2026-04-29T11:49:40.96" personId="{9195275E-ACFB-48A6-94B1-33F9CF5574E8}" id="{2FBE2874-89B0-4359-A865-74742C7184BF}">
    <text>The shortCol files are not readable, so results need to be pasted elsewhere</text>
  </threadedComment>
  <threadedComment ref="B9" dT="2026-04-29T11:49:40.96" personId="{9195275E-ACFB-48A6-94B1-33F9CF5574E8}" id="{9693D811-F18F-4B30-B8B4-7A2A548006FD}">
    <text>The shortCol files are not readable, so results need to be pasted elsewhere</text>
  </threadedComment>
  <threadedComment ref="B10" dT="2026-04-29T11:49:40.96" personId="{9195275E-ACFB-48A6-94B1-33F9CF5574E8}" id="{9B8C51DD-B1CB-4C6E-83EA-0AFAE366676B}">
    <text>The shortCol files are not readable, so results need to be pasted elsewhere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4-29T11:49:40.96" personId="{9195275E-ACFB-48A6-94B1-33F9CF5574E8}" id="{47095D26-4D11-4B48-8B93-518DDF5B3182}">
    <text>The shortCol files are not readable, so results need to be pasted elsewhere</text>
  </threadedComment>
  <threadedComment ref="B3" dT="2026-04-29T11:49:40.96" personId="{9195275E-ACFB-48A6-94B1-33F9CF5574E8}" id="{7EAE4767-6ED3-4EA8-A715-C940103F2DEC}">
    <text>The shortCol files are not readable, so results need to be pasted elsewhere</text>
  </threadedComment>
  <threadedComment ref="B4" dT="2026-04-29T11:49:40.96" personId="{9195275E-ACFB-48A6-94B1-33F9CF5574E8}" id="{4C69975C-1978-4045-96D3-D07F3E591C3C}">
    <text>The shortCol files are not readable, so results need to be pasted elsewhere</text>
  </threadedComment>
  <threadedComment ref="B5" dT="2026-04-29T11:49:40.96" personId="{9195275E-ACFB-48A6-94B1-33F9CF5574E8}" id="{F81ADFCA-C872-4E0A-A380-21916C5E21AA}">
    <text>The shortCol files are not readable, so results need to be pasted elsewhere</text>
  </threadedComment>
  <threadedComment ref="B6" dT="2026-04-29T11:49:40.96" personId="{9195275E-ACFB-48A6-94B1-33F9CF5574E8}" id="{9860D72E-8574-40BD-A715-A9769BA25580}">
    <text>The shortCol files are not readable, so results need to be pasted elsewhere</text>
  </threadedComment>
  <threadedComment ref="B7" dT="2026-04-29T11:49:40.96" personId="{9195275E-ACFB-48A6-94B1-33F9CF5574E8}" id="{9189F9B8-7679-4299-A8E4-BAAED0F25A77}">
    <text>The shortCol files are not readable, so results need to be pasted elsewhere</text>
  </threadedComment>
  <threadedComment ref="B8" dT="2026-04-29T11:49:40.96" personId="{9195275E-ACFB-48A6-94B1-33F9CF5574E8}" id="{422B07D7-22BC-466E-A5C7-ADAD42726B20}">
    <text>The shortCol files are not readable, so results need to be pasted elsewhere</text>
  </threadedComment>
  <threadedComment ref="B9" dT="2026-04-29T11:49:40.96" personId="{9195275E-ACFB-48A6-94B1-33F9CF5574E8}" id="{7BDCE662-FE12-414A-BFF9-7F91B8077F7D}">
    <text>The shortCol files are not readable, so results need to be pasted elsewhere</text>
  </threadedComment>
  <threadedComment ref="B10" dT="2026-04-29T11:49:40.96" personId="{9195275E-ACFB-48A6-94B1-33F9CF5574E8}" id="{74B1DB04-EEA8-48A9-8A22-203762EE9CFA}">
    <text>The shortCol files are not readable, so results need to be pasted elsewhere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04-29T11:49:40.96" personId="{9195275E-ACFB-48A6-94B1-33F9CF5574E8}" id="{2F5C5735-E091-4AF0-BCBD-31CFC4340932}">
    <text>The shortCol files are not readable, so results need to be pasted elsewhere</text>
  </threadedComment>
  <threadedComment ref="B3" dT="2026-04-29T11:49:40.96" personId="{9195275E-ACFB-48A6-94B1-33F9CF5574E8}" id="{21DAA7D6-06EB-460F-8214-8D1A30507D2E}">
    <text>The shortCol files are not readable, so results need to be pasted elsewhere</text>
  </threadedComment>
  <threadedComment ref="B4" dT="2026-04-29T11:49:40.96" personId="{9195275E-ACFB-48A6-94B1-33F9CF5574E8}" id="{D10DCE79-1585-42CC-94CB-9C3A06348B4C}">
    <text>The shortCol files are not readable, so results need to be pasted elsewhere</text>
  </threadedComment>
  <threadedComment ref="B5" dT="2026-04-29T11:49:40.96" personId="{9195275E-ACFB-48A6-94B1-33F9CF5574E8}" id="{FD639A46-ED51-4AEC-87C9-9BBA33766852}">
    <text>The shortCol files are not readable, so results need to be pasted elsewhere</text>
  </threadedComment>
  <threadedComment ref="B6" dT="2026-04-29T11:49:40.96" personId="{9195275E-ACFB-48A6-94B1-33F9CF5574E8}" id="{95F12964-54D2-401E-99CF-61B8C4D4DA29}">
    <text>The shortCol files are not readable, so results need to be pasted elsewhere</text>
  </threadedComment>
  <threadedComment ref="B7" dT="2026-04-29T11:49:40.96" personId="{9195275E-ACFB-48A6-94B1-33F9CF5574E8}" id="{2C6A7578-6148-4644-8009-61C640780089}">
    <text>The shortCol files are not readable, so results need to be pasted elsewhere</text>
  </threadedComment>
  <threadedComment ref="B8" dT="2026-04-29T11:49:40.96" personId="{9195275E-ACFB-48A6-94B1-33F9CF5574E8}" id="{3B121DC3-9393-46FE-823E-4ADA444270A7}">
    <text>The shortCol files are not readable, so results need to be pasted elsewhere</text>
  </threadedComment>
  <threadedComment ref="B9" dT="2026-04-29T11:49:40.96" personId="{9195275E-ACFB-48A6-94B1-33F9CF5574E8}" id="{774D066C-6571-457D-8110-4E1C91190E8C}">
    <text>The shortCol files are not readable, so results need to be pasted elsewhere</text>
  </threadedComment>
  <threadedComment ref="B10" dT="2026-04-29T11:49:40.96" personId="{9195275E-ACFB-48A6-94B1-33F9CF5574E8}" id="{97EC784E-3370-4603-8049-5ACEBD6F1E7A}">
    <text>The shortCol files are not readable, so results need to be pasted elsewhere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04-29T11:49:40.96" personId="{9195275E-ACFB-48A6-94B1-33F9CF5574E8}" id="{45202FD0-228D-48CD-BDC2-E946AFC1F17C}">
    <text>The shortCol files are not readable, so results need to be pasted elsewhere</text>
  </threadedComment>
  <threadedComment ref="B3" dT="2026-04-29T11:49:40.96" personId="{9195275E-ACFB-48A6-94B1-33F9CF5574E8}" id="{DEA58FEC-5B58-4244-9563-171083B11368}">
    <text>The shortCol files are not readable, so results need to be pasted elsewhere</text>
  </threadedComment>
  <threadedComment ref="B4" dT="2026-04-29T11:49:40.96" personId="{9195275E-ACFB-48A6-94B1-33F9CF5574E8}" id="{302C9A33-27C1-47D9-BC7D-FD91BB451599}">
    <text>The shortCol files are not readable, so results need to be pasted elsewhere</text>
  </threadedComment>
  <threadedComment ref="B5" dT="2026-04-29T11:49:40.96" personId="{9195275E-ACFB-48A6-94B1-33F9CF5574E8}" id="{26DEAD75-6872-4B4A-8872-C92C15D50450}">
    <text>The shortCol files are not readable, so results need to be pasted elsewhere</text>
  </threadedComment>
  <threadedComment ref="B6" dT="2026-04-29T11:49:40.96" personId="{9195275E-ACFB-48A6-94B1-33F9CF5574E8}" id="{CF08C82D-FD81-4EDD-94E3-590AB7CBCF96}">
    <text>The shortCol files are not readable, so results need to be pasted elsewhere</text>
  </threadedComment>
  <threadedComment ref="B7" dT="2026-04-29T11:49:40.96" personId="{9195275E-ACFB-48A6-94B1-33F9CF5574E8}" id="{D6CC7715-C716-4987-9A62-C666EF932111}">
    <text>The shortCol files are not readable, so results need to be pasted elsewhere</text>
  </threadedComment>
  <threadedComment ref="B8" dT="2026-04-29T11:49:40.96" personId="{9195275E-ACFB-48A6-94B1-33F9CF5574E8}" id="{F5868F83-699A-43DA-A2FF-48EA8D2E81C3}">
    <text>The shortCol files are not readable, so results need to be pasted elsewhere</text>
  </threadedComment>
  <threadedComment ref="B9" dT="2026-04-29T11:49:40.96" personId="{9195275E-ACFB-48A6-94B1-33F9CF5574E8}" id="{E26C41AC-BA09-4A14-BD75-30C0A940D966}">
    <text>The shortCol files are not readable, so results need to be pasted elsewhere</text>
  </threadedComment>
  <threadedComment ref="B10" dT="2026-04-29T11:49:40.96" personId="{9195275E-ACFB-48A6-94B1-33F9CF5574E8}" id="{F88D2070-5FDE-4D72-8664-19242E0FB114}">
    <text>The shortCol files are not readable, so results need to be pasted elsewhere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04-29T11:49:40.96" personId="{9195275E-ACFB-48A6-94B1-33F9CF5574E8}" id="{8C3537DF-C17B-4573-92A1-2D0729D12AB3}">
    <text>The shortCol files are not readable, so results need to be pasted elsewhere</text>
  </threadedComment>
  <threadedComment ref="B3" dT="2026-04-29T11:49:40.96" personId="{9195275E-ACFB-48A6-94B1-33F9CF5574E8}" id="{4AB2B64F-6276-457A-AC50-A94CE03F45D8}">
    <text>The shortCol files are not readable, so results need to be pasted elsewhere</text>
  </threadedComment>
  <threadedComment ref="B4" dT="2026-04-29T11:49:40.96" personId="{9195275E-ACFB-48A6-94B1-33F9CF5574E8}" id="{513DC394-05A4-4CF6-96F5-E866D3CD7543}">
    <text>The shortCol files are not readable, so results need to be pasted elsewhere</text>
  </threadedComment>
  <threadedComment ref="B5" dT="2026-04-29T11:49:40.96" personId="{9195275E-ACFB-48A6-94B1-33F9CF5574E8}" id="{1E385A88-7001-467D-A019-D191AAD9A358}">
    <text>The shortCol files are not readable, so results need to be pasted elsewhere</text>
  </threadedComment>
  <threadedComment ref="B6" dT="2026-04-29T11:49:40.96" personId="{9195275E-ACFB-48A6-94B1-33F9CF5574E8}" id="{5B4A770A-2BB9-4D59-A8D0-546641DBE534}">
    <text>The shortCol files are not readable, so results need to be pasted elsewhere</text>
  </threadedComment>
  <threadedComment ref="B7" dT="2026-04-29T11:49:40.96" personId="{9195275E-ACFB-48A6-94B1-33F9CF5574E8}" id="{BC3C247B-5B16-4A11-984D-4AF21DBE572D}">
    <text>The shortCol files are not readable, so results need to be pasted elsewhere</text>
  </threadedComment>
  <threadedComment ref="B8" dT="2026-04-29T11:49:40.96" personId="{9195275E-ACFB-48A6-94B1-33F9CF5574E8}" id="{E3E40F4E-DFC2-4495-AE2D-5764215892F6}">
    <text>The shortCol files are not readable, so results need to be pasted elsewhere</text>
  </threadedComment>
  <threadedComment ref="B9" dT="2026-04-29T11:49:40.96" personId="{9195275E-ACFB-48A6-94B1-33F9CF5574E8}" id="{82DF6125-6866-4B2B-88CC-9894A40A68DF}">
    <text>The shortCol files are not readable, so results need to be pasted elsewhere</text>
  </threadedComment>
  <threadedComment ref="B10" dT="2026-04-29T11:49:40.96" personId="{9195275E-ACFB-48A6-94B1-33F9CF5574E8}" id="{76900838-BD75-4D0D-A312-BCD18D7FF749}">
    <text>The shortCol files are not readable, so results need to be pasted elsewhere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04-29T11:49:40.96" personId="{9195275E-ACFB-48A6-94B1-33F9CF5574E8}" id="{B62DAF60-F4A8-4736-A153-778FBF414E65}">
    <text>The shortCol files are not readable, so results need to be pasted elsewhere</text>
  </threadedComment>
  <threadedComment ref="B3" dT="2026-04-29T11:49:40.96" personId="{9195275E-ACFB-48A6-94B1-33F9CF5574E8}" id="{92951E21-7381-40FE-980B-1FB974088AF1}">
    <text>The shortCol files are not readable, so results need to be pasted elsewhere</text>
  </threadedComment>
  <threadedComment ref="B4" dT="2026-04-29T11:49:40.96" personId="{9195275E-ACFB-48A6-94B1-33F9CF5574E8}" id="{AB143389-16B8-4C5C-8AF8-3970A0363984}">
    <text>The shortCol files are not readable, so results need to be pasted elsewhere</text>
  </threadedComment>
  <threadedComment ref="B5" dT="2026-04-29T11:49:40.96" personId="{9195275E-ACFB-48A6-94B1-33F9CF5574E8}" id="{C7ED6D8A-1F14-4981-9662-4BB61F6EFD88}">
    <text>The shortCol files are not readable, so results need to be pasted elsewhere</text>
  </threadedComment>
  <threadedComment ref="B6" dT="2026-04-29T11:49:40.96" personId="{9195275E-ACFB-48A6-94B1-33F9CF5574E8}" id="{42832E48-6271-4BEC-B9ED-75EB6527BD0D}">
    <text>The shortCol files are not readable, so results need to be pasted elsewhere</text>
  </threadedComment>
  <threadedComment ref="B7" dT="2026-04-29T11:49:40.96" personId="{9195275E-ACFB-48A6-94B1-33F9CF5574E8}" id="{ABC438EA-6903-4792-AFC6-F4F79B92B29F}">
    <text>The shortCol files are not readable, so results need to be pasted elsewhere</text>
  </threadedComment>
  <threadedComment ref="B8" dT="2026-04-29T11:49:40.96" personId="{9195275E-ACFB-48A6-94B1-33F9CF5574E8}" id="{CB736BAD-8A65-45BF-B9D4-699FDFEC1271}">
    <text>The shortCol files are not readable, so results need to be pasted elsewhere</text>
  </threadedComment>
  <threadedComment ref="B9" dT="2026-04-29T11:49:40.96" personId="{9195275E-ACFB-48A6-94B1-33F9CF5574E8}" id="{342F8E24-8431-4246-9D67-7A4D99727A63}">
    <text>The shortCol files are not readable, so results need to be pasted elsewhere</text>
  </threadedComment>
  <threadedComment ref="B10" dT="2026-04-29T11:49:40.96" personId="{9195275E-ACFB-48A6-94B1-33F9CF5574E8}" id="{81824FBE-EC2D-42B1-AE50-7590B484BBB1}">
    <text>The shortCol files are not readable, so results need to be pasted elsewhere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tabSelected="1" zoomScale="55" zoomScaleNormal="55" workbookViewId="0">
      <selection activeCell="B1" sqref="B1:B1048576"/>
    </sheetView>
  </sheetViews>
  <sheetFormatPr defaultRowHeight="15" x14ac:dyDescent="0.25"/>
  <cols>
    <col min="1" max="2" width="14.42578125" customWidth="1"/>
    <col min="3" max="9" width="8.5703125" customWidth="1"/>
    <col min="10" max="11" width="18.42578125" customWidth="1"/>
    <col min="12" max="12" width="13.140625" customWidth="1"/>
    <col min="13" max="17" width="10" customWidth="1"/>
    <col min="18" max="18" width="24.85546875" customWidth="1"/>
    <col min="25" max="25" width="19.85546875" customWidth="1"/>
    <col min="26" max="26" width="8.7109375" customWidth="1"/>
    <col min="32" max="32" width="19" customWidth="1"/>
    <col min="39" max="39" width="20.85546875" customWidth="1"/>
    <col min="46" max="46" width="20.42578125" customWidth="1"/>
  </cols>
  <sheetData>
    <row r="1" spans="1:52" ht="45.75" thickBot="1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</row>
    <row r="2" spans="1:52" ht="197.45" customHeight="1" thickBot="1" x14ac:dyDescent="0.3">
      <c r="A2" s="2" t="s">
        <v>56</v>
      </c>
      <c r="B2" s="2" t="s">
        <v>113</v>
      </c>
      <c r="C2" s="2" t="s">
        <v>54</v>
      </c>
      <c r="D2" s="2">
        <v>1</v>
      </c>
      <c r="E2" s="2">
        <v>2</v>
      </c>
      <c r="F2" s="2">
        <v>10</v>
      </c>
      <c r="G2" s="2">
        <v>41</v>
      </c>
      <c r="H2" s="2">
        <v>43</v>
      </c>
      <c r="I2" s="2">
        <v>74</v>
      </c>
      <c r="J2" s="2" t="s">
        <v>46</v>
      </c>
      <c r="K2" s="3" t="s">
        <v>114</v>
      </c>
      <c r="L2" s="2" t="s">
        <v>66</v>
      </c>
      <c r="M2" s="2">
        <v>2</v>
      </c>
      <c r="N2" s="2">
        <v>10000</v>
      </c>
      <c r="O2" s="2">
        <v>14</v>
      </c>
      <c r="P2" s="2">
        <v>7</v>
      </c>
      <c r="Q2" s="2" t="s">
        <v>47</v>
      </c>
      <c r="R2" s="3" t="s">
        <v>115</v>
      </c>
      <c r="S2" s="2" t="s">
        <v>66</v>
      </c>
      <c r="T2" s="2">
        <v>2</v>
      </c>
      <c r="U2" s="2">
        <v>10000</v>
      </c>
      <c r="V2" s="2">
        <v>14</v>
      </c>
      <c r="W2" s="2">
        <v>7</v>
      </c>
      <c r="X2" s="2" t="s">
        <v>64</v>
      </c>
      <c r="Y2" s="3" t="s">
        <v>116</v>
      </c>
      <c r="Z2" s="2" t="s">
        <v>66</v>
      </c>
      <c r="AA2" s="2">
        <v>2</v>
      </c>
      <c r="AB2" s="2">
        <v>10000</v>
      </c>
      <c r="AC2" s="2">
        <v>14</v>
      </c>
      <c r="AD2" s="2">
        <v>7</v>
      </c>
      <c r="AE2" s="2" t="s">
        <v>65</v>
      </c>
      <c r="AF2" s="3"/>
      <c r="AG2" s="2"/>
      <c r="AH2" s="2"/>
      <c r="AI2" s="2"/>
      <c r="AJ2" s="2"/>
      <c r="AK2" s="2"/>
      <c r="AL2" s="2"/>
      <c r="AM2" s="3"/>
      <c r="AN2" s="2"/>
      <c r="AO2" s="2"/>
      <c r="AP2" s="2"/>
      <c r="AQ2" s="2"/>
      <c r="AR2" s="2"/>
      <c r="AS2" s="2"/>
      <c r="AT2" s="3"/>
      <c r="AU2" s="2"/>
      <c r="AV2" s="2"/>
      <c r="AW2" s="2"/>
      <c r="AX2" s="2"/>
      <c r="AY2" s="2"/>
      <c r="AZ2" s="2"/>
    </row>
    <row r="3" spans="1:52" ht="201.6" customHeight="1" thickBot="1" x14ac:dyDescent="0.3">
      <c r="A3" s="2" t="s">
        <v>57</v>
      </c>
      <c r="B3" s="2" t="s">
        <v>113</v>
      </c>
      <c r="C3" s="2" t="s">
        <v>55</v>
      </c>
      <c r="D3" s="2">
        <v>1</v>
      </c>
      <c r="E3" s="2">
        <v>2</v>
      </c>
      <c r="F3" s="2">
        <v>10</v>
      </c>
      <c r="G3" s="2">
        <v>41</v>
      </c>
      <c r="H3" s="2">
        <v>43</v>
      </c>
      <c r="I3" s="2">
        <v>74</v>
      </c>
      <c r="J3" s="2" t="s">
        <v>46</v>
      </c>
      <c r="K3" s="3" t="str">
        <f>K2</f>
        <v>results_TypicalSection_Strength T-I.xlsx</v>
      </c>
      <c r="L3" s="2" t="s">
        <v>66</v>
      </c>
      <c r="M3" s="2">
        <v>2</v>
      </c>
      <c r="N3" s="2">
        <v>10000</v>
      </c>
      <c r="O3" s="2">
        <v>14</v>
      </c>
      <c r="P3" s="2">
        <v>7</v>
      </c>
      <c r="Q3" s="2" t="s">
        <v>47</v>
      </c>
      <c r="R3" s="3" t="str">
        <f>R2</f>
        <v>results_TypicalSection_Extreme T-I Derailment.xlsx</v>
      </c>
      <c r="S3" s="2" t="s">
        <v>66</v>
      </c>
      <c r="T3" s="2">
        <v>2</v>
      </c>
      <c r="U3" s="2">
        <v>10000</v>
      </c>
      <c r="V3" s="2">
        <v>14</v>
      </c>
      <c r="W3" s="2">
        <v>7</v>
      </c>
      <c r="X3" s="2" t="s">
        <v>64</v>
      </c>
      <c r="Y3" s="3" t="str">
        <f>Y2</f>
        <v>results_TypicalSection_Extreme T-I Fire.xlsx</v>
      </c>
      <c r="Z3" s="2" t="s">
        <v>66</v>
      </c>
      <c r="AA3" s="2">
        <v>2</v>
      </c>
      <c r="AB3" s="2">
        <v>10000</v>
      </c>
      <c r="AC3" s="2">
        <v>14</v>
      </c>
      <c r="AD3" s="2">
        <v>7</v>
      </c>
      <c r="AE3" s="2" t="s">
        <v>65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7.45" customHeight="1" thickBot="1" x14ac:dyDescent="0.3">
      <c r="A4" s="2" t="s">
        <v>58</v>
      </c>
      <c r="B4" s="2" t="s">
        <v>113</v>
      </c>
      <c r="C4" s="2" t="s">
        <v>59</v>
      </c>
      <c r="D4" s="2">
        <v>1</v>
      </c>
      <c r="E4" s="2">
        <v>2</v>
      </c>
      <c r="F4" s="2">
        <v>10</v>
      </c>
      <c r="G4" s="2">
        <v>41</v>
      </c>
      <c r="H4" s="2">
        <v>43</v>
      </c>
      <c r="I4" s="2">
        <v>74</v>
      </c>
      <c r="J4" s="2" t="s">
        <v>46</v>
      </c>
      <c r="K4" s="3" t="str">
        <f t="shared" ref="K4:K7" si="0">K3</f>
        <v>results_TypicalSection_Strength T-I.xlsx</v>
      </c>
      <c r="L4" s="2" t="s">
        <v>66</v>
      </c>
      <c r="M4" s="2">
        <v>2</v>
      </c>
      <c r="N4" s="2">
        <v>10000</v>
      </c>
      <c r="O4" s="2">
        <v>14</v>
      </c>
      <c r="P4" s="2">
        <v>7</v>
      </c>
      <c r="Q4" s="2" t="s">
        <v>47</v>
      </c>
      <c r="R4" s="3" t="str">
        <f t="shared" ref="R4:R7" si="1">R3</f>
        <v>results_TypicalSection_Extreme T-I Derailment.xlsx</v>
      </c>
      <c r="S4" s="2" t="s">
        <v>66</v>
      </c>
      <c r="T4" s="2">
        <v>2</v>
      </c>
      <c r="U4" s="2">
        <v>10000</v>
      </c>
      <c r="V4" s="2">
        <v>14</v>
      </c>
      <c r="W4" s="2">
        <v>7</v>
      </c>
      <c r="X4" s="2" t="s">
        <v>64</v>
      </c>
      <c r="Y4" s="3" t="str">
        <f t="shared" ref="Y4:Y7" si="2">Y3</f>
        <v>results_TypicalSection_Extreme T-I Fire.xlsx</v>
      </c>
      <c r="Z4" s="2" t="s">
        <v>66</v>
      </c>
      <c r="AA4" s="2">
        <v>2</v>
      </c>
      <c r="AB4" s="2">
        <v>10000</v>
      </c>
      <c r="AC4" s="2">
        <v>14</v>
      </c>
      <c r="AD4" s="2">
        <v>7</v>
      </c>
      <c r="AE4" s="2" t="s">
        <v>65</v>
      </c>
    </row>
    <row r="5" spans="1:52" ht="201.6" customHeight="1" thickBot="1" x14ac:dyDescent="0.3">
      <c r="A5" s="2" t="s">
        <v>60</v>
      </c>
      <c r="B5" s="2" t="s">
        <v>113</v>
      </c>
      <c r="C5" s="2" t="s">
        <v>54</v>
      </c>
      <c r="D5" s="2">
        <v>1</v>
      </c>
      <c r="E5" s="2">
        <v>2</v>
      </c>
      <c r="F5" s="2">
        <v>10</v>
      </c>
      <c r="G5" s="2">
        <v>41</v>
      </c>
      <c r="H5" s="2">
        <v>43</v>
      </c>
      <c r="I5" s="2">
        <v>74</v>
      </c>
      <c r="J5" s="2" t="s">
        <v>46</v>
      </c>
      <c r="K5" s="3" t="str">
        <f t="shared" si="0"/>
        <v>results_TypicalSection_Strength T-I.xlsx</v>
      </c>
      <c r="L5" s="2" t="s">
        <v>66</v>
      </c>
      <c r="M5" s="2">
        <v>2</v>
      </c>
      <c r="N5" s="2">
        <v>10000</v>
      </c>
      <c r="O5" s="2">
        <v>15</v>
      </c>
      <c r="P5" s="2">
        <v>8</v>
      </c>
      <c r="Q5" s="2" t="s">
        <v>47</v>
      </c>
      <c r="R5" s="3" t="str">
        <f t="shared" si="1"/>
        <v>results_TypicalSection_Extreme T-I Derailment.xlsx</v>
      </c>
      <c r="S5" s="2" t="s">
        <v>66</v>
      </c>
      <c r="T5" s="2">
        <v>2</v>
      </c>
      <c r="U5" s="2">
        <v>10000</v>
      </c>
      <c r="V5" s="2">
        <v>15</v>
      </c>
      <c r="W5" s="2">
        <v>8</v>
      </c>
      <c r="X5" s="2" t="s">
        <v>64</v>
      </c>
      <c r="Y5" s="3" t="str">
        <f t="shared" si="2"/>
        <v>results_TypicalSection_Extreme T-I Fire.xlsx</v>
      </c>
      <c r="Z5" s="2" t="s">
        <v>66</v>
      </c>
      <c r="AA5" s="2">
        <v>2</v>
      </c>
      <c r="AB5" s="2">
        <v>10000</v>
      </c>
      <c r="AC5" s="2">
        <v>15</v>
      </c>
      <c r="AD5" s="2">
        <v>8</v>
      </c>
      <c r="AE5" s="2" t="s">
        <v>65</v>
      </c>
    </row>
    <row r="6" spans="1:52" ht="237.6" customHeight="1" thickBot="1" x14ac:dyDescent="0.3">
      <c r="A6" s="2" t="s">
        <v>61</v>
      </c>
      <c r="B6" s="2" t="s">
        <v>113</v>
      </c>
      <c r="C6" s="2" t="s">
        <v>55</v>
      </c>
      <c r="D6" s="2">
        <v>1</v>
      </c>
      <c r="E6" s="2">
        <v>2</v>
      </c>
      <c r="F6" s="2">
        <v>10</v>
      </c>
      <c r="G6" s="2">
        <v>41</v>
      </c>
      <c r="H6" s="2">
        <v>43</v>
      </c>
      <c r="I6" s="2">
        <v>74</v>
      </c>
      <c r="J6" s="2" t="s">
        <v>46</v>
      </c>
      <c r="K6" s="3" t="str">
        <f t="shared" si="0"/>
        <v>results_TypicalSection_Strength T-I.xlsx</v>
      </c>
      <c r="L6" s="2" t="s">
        <v>66</v>
      </c>
      <c r="M6" s="2">
        <v>2</v>
      </c>
      <c r="N6" s="2">
        <v>10000</v>
      </c>
      <c r="O6" s="2">
        <v>15</v>
      </c>
      <c r="P6" s="2">
        <v>8</v>
      </c>
      <c r="Q6" s="2" t="s">
        <v>47</v>
      </c>
      <c r="R6" s="3" t="str">
        <f t="shared" si="1"/>
        <v>results_TypicalSection_Extreme T-I Derailment.xlsx</v>
      </c>
      <c r="S6" s="2" t="s">
        <v>66</v>
      </c>
      <c r="T6" s="2">
        <v>2</v>
      </c>
      <c r="U6" s="2">
        <v>10000</v>
      </c>
      <c r="V6" s="2">
        <v>15</v>
      </c>
      <c r="W6" s="2">
        <v>8</v>
      </c>
      <c r="X6" s="2" t="s">
        <v>64</v>
      </c>
      <c r="Y6" s="3" t="str">
        <f t="shared" si="2"/>
        <v>results_TypicalSection_Extreme T-I Fire.xlsx</v>
      </c>
      <c r="Z6" s="2" t="s">
        <v>66</v>
      </c>
      <c r="AA6" s="2">
        <v>2</v>
      </c>
      <c r="AB6" s="2">
        <v>10000</v>
      </c>
      <c r="AC6" s="2">
        <v>15</v>
      </c>
      <c r="AD6" s="2">
        <v>8</v>
      </c>
      <c r="AE6" s="2" t="s">
        <v>65</v>
      </c>
    </row>
    <row r="7" spans="1:52" ht="217.5" customHeight="1" thickBot="1" x14ac:dyDescent="0.3">
      <c r="A7" s="2" t="s">
        <v>62</v>
      </c>
      <c r="B7" s="2" t="s">
        <v>113</v>
      </c>
      <c r="C7" s="2" t="s">
        <v>59</v>
      </c>
      <c r="D7" s="2">
        <v>1</v>
      </c>
      <c r="E7" s="2">
        <v>2</v>
      </c>
      <c r="F7" s="2">
        <v>10</v>
      </c>
      <c r="G7" s="2">
        <v>41</v>
      </c>
      <c r="H7" s="2">
        <v>43</v>
      </c>
      <c r="I7" s="2">
        <v>74</v>
      </c>
      <c r="J7" s="2" t="s">
        <v>46</v>
      </c>
      <c r="K7" s="3" t="str">
        <f t="shared" si="0"/>
        <v>results_TypicalSection_Strength T-I.xlsx</v>
      </c>
      <c r="L7" s="2" t="s">
        <v>66</v>
      </c>
      <c r="M7" s="2">
        <v>2</v>
      </c>
      <c r="N7" s="2">
        <v>10000</v>
      </c>
      <c r="O7" s="2">
        <v>15</v>
      </c>
      <c r="P7" s="2">
        <v>8</v>
      </c>
      <c r="Q7" s="2" t="s">
        <v>47</v>
      </c>
      <c r="R7" s="3" t="str">
        <f t="shared" si="1"/>
        <v>results_TypicalSection_Extreme T-I Derailment.xlsx</v>
      </c>
      <c r="S7" s="2" t="s">
        <v>66</v>
      </c>
      <c r="T7" s="2">
        <v>2</v>
      </c>
      <c r="U7" s="2">
        <v>10000</v>
      </c>
      <c r="V7" s="2">
        <v>15</v>
      </c>
      <c r="W7" s="2">
        <v>8</v>
      </c>
      <c r="X7" s="2" t="s">
        <v>64</v>
      </c>
      <c r="Y7" s="3" t="str">
        <f t="shared" si="2"/>
        <v>results_TypicalSection_Extreme T-I Fire.xlsx</v>
      </c>
      <c r="Z7" s="2" t="s">
        <v>66</v>
      </c>
      <c r="AA7" s="2">
        <v>2</v>
      </c>
      <c r="AB7" s="2">
        <v>10000</v>
      </c>
      <c r="AC7" s="2">
        <v>15</v>
      </c>
      <c r="AD7" s="2">
        <v>8</v>
      </c>
      <c r="AE7" s="2" t="s">
        <v>65</v>
      </c>
    </row>
    <row r="8" spans="1:5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</row>
    <row r="9" spans="1:5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</row>
    <row r="10" spans="1:5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3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topLeftCell="A2" zoomScale="55" zoomScaleNormal="55" workbookViewId="0">
      <selection activeCell="B2" sqref="B1:B1048576"/>
    </sheetView>
  </sheetViews>
  <sheetFormatPr defaultRowHeight="15" x14ac:dyDescent="0.25"/>
  <cols>
    <col min="1" max="2" width="14.42578125" customWidth="1"/>
    <col min="3" max="9" width="8.5703125" customWidth="1"/>
    <col min="10" max="11" width="18.42578125" customWidth="1"/>
    <col min="12" max="12" width="13.140625" customWidth="1"/>
    <col min="13" max="17" width="10" customWidth="1"/>
    <col min="18" max="18" width="24.85546875" customWidth="1"/>
    <col min="25" max="25" width="19.85546875" customWidth="1"/>
    <col min="26" max="26" width="8.7109375" customWidth="1"/>
    <col min="32" max="32" width="19" customWidth="1"/>
    <col min="39" max="39" width="20.85546875" customWidth="1"/>
    <col min="46" max="46" width="20.42578125" customWidth="1"/>
  </cols>
  <sheetData>
    <row r="1" spans="1:52" ht="45.75" thickBot="1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</row>
    <row r="2" spans="1:52" ht="197.45" customHeight="1" thickBot="1" x14ac:dyDescent="0.3">
      <c r="A2" s="2" t="s">
        <v>97</v>
      </c>
      <c r="B2" s="2" t="s">
        <v>113</v>
      </c>
      <c r="C2" s="2" t="s">
        <v>68</v>
      </c>
      <c r="D2" s="2">
        <v>1</v>
      </c>
      <c r="E2" s="2">
        <v>2</v>
      </c>
      <c r="F2" s="2">
        <v>10</v>
      </c>
      <c r="G2" s="2">
        <v>41</v>
      </c>
      <c r="H2" s="2">
        <v>43</v>
      </c>
      <c r="I2" s="2">
        <v>74</v>
      </c>
      <c r="J2" s="2" t="s">
        <v>46</v>
      </c>
      <c r="K2" s="3" t="s">
        <v>117</v>
      </c>
      <c r="L2" s="2" t="s">
        <v>66</v>
      </c>
      <c r="M2" s="2">
        <v>2</v>
      </c>
      <c r="N2" s="2">
        <v>10000</v>
      </c>
      <c r="O2" s="2">
        <v>14</v>
      </c>
      <c r="P2" s="2">
        <v>7</v>
      </c>
      <c r="Q2" s="2" t="s">
        <v>71</v>
      </c>
      <c r="R2" s="3"/>
      <c r="S2" s="2"/>
      <c r="T2" s="2"/>
      <c r="U2" s="2"/>
      <c r="V2" s="2"/>
      <c r="W2" s="2"/>
      <c r="X2" s="2"/>
      <c r="Y2" s="3"/>
      <c r="Z2" s="2"/>
      <c r="AA2" s="2"/>
      <c r="AB2" s="2"/>
      <c r="AC2" s="2"/>
      <c r="AD2" s="2"/>
      <c r="AE2" s="2"/>
      <c r="AF2" s="3"/>
      <c r="AG2" s="2"/>
      <c r="AH2" s="2"/>
      <c r="AI2" s="2"/>
      <c r="AJ2" s="2"/>
      <c r="AK2" s="2"/>
      <c r="AL2" s="2"/>
      <c r="AM2" s="3"/>
      <c r="AN2" s="2"/>
      <c r="AO2" s="2"/>
      <c r="AP2" s="2"/>
      <c r="AQ2" s="2"/>
      <c r="AR2" s="2"/>
      <c r="AS2" s="2"/>
      <c r="AT2" s="3"/>
      <c r="AU2" s="2"/>
      <c r="AV2" s="2"/>
      <c r="AW2" s="2"/>
      <c r="AX2" s="2"/>
      <c r="AY2" s="2"/>
      <c r="AZ2" s="2"/>
    </row>
    <row r="3" spans="1:52" ht="201.6" customHeight="1" thickBot="1" x14ac:dyDescent="0.3">
      <c r="A3" s="2" t="s">
        <v>98</v>
      </c>
      <c r="B3" s="2" t="s">
        <v>113</v>
      </c>
      <c r="C3" s="2" t="s">
        <v>69</v>
      </c>
      <c r="D3" s="2">
        <v>1</v>
      </c>
      <c r="E3" s="2">
        <v>2</v>
      </c>
      <c r="F3" s="2">
        <v>10</v>
      </c>
      <c r="G3" s="2">
        <v>41</v>
      </c>
      <c r="H3" s="2">
        <v>43</v>
      </c>
      <c r="I3" s="2">
        <v>74</v>
      </c>
      <c r="J3" s="2" t="s">
        <v>46</v>
      </c>
      <c r="K3" s="3" t="str">
        <f>K2</f>
        <v>results_TypicalSection_Extreme T-I EQ.xlsx</v>
      </c>
      <c r="L3" s="2" t="s">
        <v>66</v>
      </c>
      <c r="M3" s="2">
        <v>2</v>
      </c>
      <c r="N3" s="2">
        <v>10000</v>
      </c>
      <c r="O3" s="2">
        <v>14</v>
      </c>
      <c r="P3" s="2">
        <v>7</v>
      </c>
      <c r="Q3" s="2" t="str">
        <f>Q2</f>
        <v>Extreme T-I EQ</v>
      </c>
      <c r="R3" s="3"/>
      <c r="S3" s="2"/>
      <c r="T3" s="2"/>
      <c r="U3" s="2"/>
      <c r="V3" s="2"/>
      <c r="W3" s="2"/>
      <c r="X3" s="2"/>
      <c r="Y3" s="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7.45" customHeight="1" thickBot="1" x14ac:dyDescent="0.3">
      <c r="A4" s="2" t="s">
        <v>99</v>
      </c>
      <c r="B4" s="2" t="s">
        <v>113</v>
      </c>
      <c r="C4" s="2" t="s">
        <v>70</v>
      </c>
      <c r="D4" s="2">
        <v>1</v>
      </c>
      <c r="E4" s="2">
        <v>2</v>
      </c>
      <c r="F4" s="2">
        <v>10</v>
      </c>
      <c r="G4" s="2">
        <v>41</v>
      </c>
      <c r="H4" s="2">
        <v>43</v>
      </c>
      <c r="I4" s="2">
        <v>74</v>
      </c>
      <c r="J4" s="2" t="s">
        <v>46</v>
      </c>
      <c r="K4" s="3" t="str">
        <f t="shared" ref="K4:K7" si="0">K3</f>
        <v>results_TypicalSection_Extreme T-I EQ.xlsx</v>
      </c>
      <c r="L4" s="2" t="s">
        <v>66</v>
      </c>
      <c r="M4" s="2">
        <v>2</v>
      </c>
      <c r="N4" s="2">
        <v>10000</v>
      </c>
      <c r="O4" s="2">
        <v>14</v>
      </c>
      <c r="P4" s="2">
        <v>7</v>
      </c>
      <c r="Q4" s="2" t="str">
        <f t="shared" ref="Q4:Q7" si="1">Q3</f>
        <v>Extreme T-I EQ</v>
      </c>
      <c r="R4" s="3"/>
      <c r="S4" s="2"/>
      <c r="T4" s="2"/>
      <c r="U4" s="2"/>
      <c r="V4" s="2"/>
      <c r="W4" s="2"/>
      <c r="X4" s="2"/>
      <c r="Y4" s="3"/>
      <c r="Z4" s="2"/>
      <c r="AA4" s="2"/>
      <c r="AB4" s="2"/>
      <c r="AC4" s="2"/>
      <c r="AD4" s="2"/>
      <c r="AE4" s="2"/>
    </row>
    <row r="5" spans="1:52" ht="201.6" customHeight="1" thickBot="1" x14ac:dyDescent="0.3">
      <c r="A5" s="2" t="s">
        <v>100</v>
      </c>
      <c r="B5" s="2" t="s">
        <v>113</v>
      </c>
      <c r="C5" s="2" t="s">
        <v>68</v>
      </c>
      <c r="D5" s="2">
        <v>1</v>
      </c>
      <c r="E5" s="2">
        <v>2</v>
      </c>
      <c r="F5" s="2">
        <v>10</v>
      </c>
      <c r="G5" s="2">
        <v>41</v>
      </c>
      <c r="H5" s="2">
        <v>43</v>
      </c>
      <c r="I5" s="2">
        <v>74</v>
      </c>
      <c r="J5" s="2" t="s">
        <v>46</v>
      </c>
      <c r="K5" s="3" t="str">
        <f t="shared" si="0"/>
        <v>results_TypicalSection_Extreme T-I EQ.xlsx</v>
      </c>
      <c r="L5" s="2" t="s">
        <v>66</v>
      </c>
      <c r="M5" s="2">
        <v>2</v>
      </c>
      <c r="N5" s="2">
        <v>10000</v>
      </c>
      <c r="O5" s="2">
        <v>15</v>
      </c>
      <c r="P5" s="2">
        <v>8</v>
      </c>
      <c r="Q5" s="2" t="str">
        <f t="shared" si="1"/>
        <v>Extreme T-I EQ</v>
      </c>
      <c r="R5" s="3"/>
      <c r="S5" s="2"/>
      <c r="T5" s="2"/>
      <c r="U5" s="2"/>
      <c r="V5" s="2"/>
      <c r="W5" s="2"/>
      <c r="X5" s="2"/>
      <c r="Y5" s="3"/>
      <c r="Z5" s="2"/>
      <c r="AA5" s="2"/>
      <c r="AB5" s="2"/>
      <c r="AC5" s="2"/>
      <c r="AD5" s="2"/>
      <c r="AE5" s="2"/>
    </row>
    <row r="6" spans="1:52" ht="237.6" customHeight="1" thickBot="1" x14ac:dyDescent="0.3">
      <c r="A6" s="2" t="s">
        <v>101</v>
      </c>
      <c r="B6" s="2" t="s">
        <v>113</v>
      </c>
      <c r="C6" s="2" t="s">
        <v>69</v>
      </c>
      <c r="D6" s="2">
        <v>1</v>
      </c>
      <c r="E6" s="2">
        <v>2</v>
      </c>
      <c r="F6" s="2">
        <v>10</v>
      </c>
      <c r="G6" s="2">
        <v>41</v>
      </c>
      <c r="H6" s="2">
        <v>43</v>
      </c>
      <c r="I6" s="2">
        <v>74</v>
      </c>
      <c r="J6" s="2" t="s">
        <v>46</v>
      </c>
      <c r="K6" s="3" t="str">
        <f t="shared" si="0"/>
        <v>results_TypicalSection_Extreme T-I EQ.xlsx</v>
      </c>
      <c r="L6" s="2" t="s">
        <v>66</v>
      </c>
      <c r="M6" s="2">
        <v>2</v>
      </c>
      <c r="N6" s="2">
        <v>10000</v>
      </c>
      <c r="O6" s="2">
        <v>15</v>
      </c>
      <c r="P6" s="2">
        <v>8</v>
      </c>
      <c r="Q6" s="2" t="str">
        <f t="shared" si="1"/>
        <v>Extreme T-I EQ</v>
      </c>
      <c r="R6" s="3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</row>
    <row r="7" spans="1:52" ht="217.5" customHeight="1" thickBot="1" x14ac:dyDescent="0.3">
      <c r="A7" s="2" t="s">
        <v>102</v>
      </c>
      <c r="B7" s="2" t="s">
        <v>113</v>
      </c>
      <c r="C7" s="2" t="s">
        <v>70</v>
      </c>
      <c r="D7" s="2">
        <v>1</v>
      </c>
      <c r="E7" s="2">
        <v>2</v>
      </c>
      <c r="F7" s="2">
        <v>10</v>
      </c>
      <c r="G7" s="2">
        <v>41</v>
      </c>
      <c r="H7" s="2">
        <v>43</v>
      </c>
      <c r="I7" s="2">
        <v>74</v>
      </c>
      <c r="J7" s="2" t="s">
        <v>46</v>
      </c>
      <c r="K7" s="3" t="str">
        <f t="shared" si="0"/>
        <v>results_TypicalSection_Extreme T-I EQ.xlsx</v>
      </c>
      <c r="L7" s="2" t="s">
        <v>66</v>
      </c>
      <c r="M7" s="2">
        <v>2</v>
      </c>
      <c r="N7" s="2">
        <v>10000</v>
      </c>
      <c r="O7" s="2">
        <v>15</v>
      </c>
      <c r="P7" s="2">
        <v>8</v>
      </c>
      <c r="Q7" s="2" t="str">
        <f t="shared" si="1"/>
        <v>Extreme T-I EQ</v>
      </c>
      <c r="R7" s="3"/>
      <c r="S7" s="2"/>
      <c r="T7" s="2"/>
      <c r="U7" s="2"/>
      <c r="V7" s="2"/>
      <c r="W7" s="2"/>
      <c r="X7" s="2"/>
      <c r="Y7" s="3"/>
      <c r="Z7" s="2"/>
      <c r="AA7" s="2"/>
      <c r="AB7" s="2"/>
      <c r="AC7" s="2"/>
      <c r="AD7" s="2"/>
      <c r="AE7" s="2"/>
    </row>
    <row r="8" spans="1:5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</row>
    <row r="9" spans="1:5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</row>
    <row r="10" spans="1:5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3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zoomScale="60" zoomScaleNormal="60" workbookViewId="0">
      <selection activeCell="B1" sqref="B1:B1048576"/>
    </sheetView>
  </sheetViews>
  <sheetFormatPr defaultRowHeight="15" x14ac:dyDescent="0.25"/>
  <cols>
    <col min="1" max="2" width="14.42578125" customWidth="1"/>
    <col min="3" max="9" width="8.5703125" customWidth="1"/>
    <col min="10" max="11" width="18.42578125" customWidth="1"/>
    <col min="12" max="12" width="13.140625" customWidth="1"/>
    <col min="13" max="17" width="10" customWidth="1"/>
    <col min="18" max="18" width="24.85546875" customWidth="1"/>
    <col min="25" max="25" width="19.85546875" customWidth="1"/>
    <col min="26" max="26" width="8.7109375" customWidth="1"/>
    <col min="32" max="32" width="19" customWidth="1"/>
    <col min="39" max="39" width="20.85546875" customWidth="1"/>
    <col min="46" max="46" width="20.42578125" customWidth="1"/>
  </cols>
  <sheetData>
    <row r="1" spans="1:52" ht="45.75" thickBot="1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</row>
    <row r="2" spans="1:52" ht="197.45" customHeight="1" thickBot="1" x14ac:dyDescent="0.3">
      <c r="A2" s="2" t="s">
        <v>107</v>
      </c>
      <c r="B2" s="2" t="s">
        <v>118</v>
      </c>
      <c r="C2" s="2" t="s">
        <v>55</v>
      </c>
      <c r="D2" s="2">
        <v>1</v>
      </c>
      <c r="E2" s="2">
        <v>2</v>
      </c>
      <c r="F2" s="2">
        <v>10</v>
      </c>
      <c r="G2" s="2">
        <v>41</v>
      </c>
      <c r="H2" s="2">
        <v>43</v>
      </c>
      <c r="I2" s="2">
        <v>74</v>
      </c>
      <c r="J2" s="2" t="s">
        <v>90</v>
      </c>
      <c r="K2" s="3" t="s">
        <v>119</v>
      </c>
      <c r="L2" s="2" t="s">
        <v>66</v>
      </c>
      <c r="M2" s="2">
        <v>2</v>
      </c>
      <c r="N2" s="2">
        <v>10000</v>
      </c>
      <c r="O2" s="2">
        <v>14</v>
      </c>
      <c r="P2" s="2">
        <v>7</v>
      </c>
      <c r="Q2" s="2" t="s">
        <v>47</v>
      </c>
      <c r="R2" s="3" t="s">
        <v>120</v>
      </c>
      <c r="S2" s="2" t="s">
        <v>66</v>
      </c>
      <c r="T2" s="2">
        <v>2</v>
      </c>
      <c r="U2" s="2">
        <v>10000</v>
      </c>
      <c r="V2" s="2">
        <v>14</v>
      </c>
      <c r="W2" s="2">
        <v>7</v>
      </c>
      <c r="X2" s="2" t="s">
        <v>64</v>
      </c>
      <c r="Y2" s="3" t="s">
        <v>121</v>
      </c>
      <c r="Z2" s="2" t="s">
        <v>66</v>
      </c>
      <c r="AA2" s="2">
        <v>2</v>
      </c>
      <c r="AB2" s="2">
        <v>10000</v>
      </c>
      <c r="AC2" s="2">
        <v>14</v>
      </c>
      <c r="AD2" s="2">
        <v>7</v>
      </c>
      <c r="AE2" s="2" t="s">
        <v>65</v>
      </c>
      <c r="AF2" s="3"/>
      <c r="AG2" s="2"/>
      <c r="AH2" s="2"/>
      <c r="AI2" s="2"/>
      <c r="AJ2" s="2"/>
      <c r="AK2" s="2"/>
      <c r="AL2" s="2"/>
      <c r="AM2" s="3"/>
      <c r="AN2" s="2"/>
      <c r="AO2" s="2"/>
      <c r="AP2" s="2"/>
      <c r="AQ2" s="2"/>
      <c r="AR2" s="2"/>
      <c r="AS2" s="2"/>
      <c r="AT2" s="3"/>
      <c r="AU2" s="2"/>
      <c r="AV2" s="2"/>
      <c r="AW2" s="2"/>
      <c r="AX2" s="2"/>
      <c r="AY2" s="2"/>
      <c r="AZ2" s="2"/>
    </row>
    <row r="3" spans="1:52" ht="201.6" customHeight="1" thickBot="1" x14ac:dyDescent="0.3">
      <c r="A3" s="2" t="s">
        <v>108</v>
      </c>
      <c r="B3" s="2" t="s">
        <v>118</v>
      </c>
      <c r="C3" s="2" t="s">
        <v>63</v>
      </c>
      <c r="D3" s="2">
        <v>1</v>
      </c>
      <c r="E3" s="2">
        <v>2</v>
      </c>
      <c r="F3" s="2">
        <v>10</v>
      </c>
      <c r="G3" s="2">
        <v>41</v>
      </c>
      <c r="H3" s="2">
        <v>43</v>
      </c>
      <c r="I3" s="2">
        <v>74</v>
      </c>
      <c r="J3" s="2" t="str">
        <f>J2</f>
        <v>Typical Section Invert - sides</v>
      </c>
      <c r="K3" s="3" t="s">
        <v>119</v>
      </c>
      <c r="L3" s="2" t="s">
        <v>66</v>
      </c>
      <c r="M3" s="2">
        <v>2</v>
      </c>
      <c r="N3" s="2">
        <v>10000</v>
      </c>
      <c r="O3" s="2">
        <v>14</v>
      </c>
      <c r="P3" s="2">
        <v>7</v>
      </c>
      <c r="Q3" s="2" t="s">
        <v>47</v>
      </c>
      <c r="R3" s="3" t="s">
        <v>120</v>
      </c>
      <c r="S3" s="2" t="s">
        <v>66</v>
      </c>
      <c r="T3" s="2">
        <v>2</v>
      </c>
      <c r="U3" s="2">
        <v>10000</v>
      </c>
      <c r="V3" s="2">
        <v>14</v>
      </c>
      <c r="W3" s="2">
        <v>7</v>
      </c>
      <c r="X3" s="2" t="s">
        <v>64</v>
      </c>
      <c r="Y3" s="3" t="s">
        <v>121</v>
      </c>
      <c r="Z3" s="2" t="s">
        <v>66</v>
      </c>
      <c r="AA3" s="2">
        <v>2</v>
      </c>
      <c r="AB3" s="2">
        <v>10000</v>
      </c>
      <c r="AC3" s="2">
        <v>14</v>
      </c>
      <c r="AD3" s="2">
        <v>7</v>
      </c>
      <c r="AE3" s="2" t="s">
        <v>65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7.45" customHeight="1" thickBot="1" x14ac:dyDescent="0.3">
      <c r="A4" s="2" t="s">
        <v>109</v>
      </c>
      <c r="B4" s="2" t="s">
        <v>118</v>
      </c>
      <c r="C4" s="2" t="s">
        <v>59</v>
      </c>
      <c r="D4" s="2">
        <v>1</v>
      </c>
      <c r="E4" s="2">
        <v>2</v>
      </c>
      <c r="F4" s="2">
        <v>10</v>
      </c>
      <c r="G4" s="2">
        <v>41</v>
      </c>
      <c r="H4" s="2">
        <v>43</v>
      </c>
      <c r="I4" s="2">
        <v>74</v>
      </c>
      <c r="J4" s="2" t="str">
        <f t="shared" ref="J4:J7" si="0">J3</f>
        <v>Typical Section Invert - sides</v>
      </c>
      <c r="K4" s="3" t="str">
        <f t="shared" ref="K4:K7" si="1">K3</f>
        <v>results_TypicalSection_Invert_sides_Strength T-I.xlsx</v>
      </c>
      <c r="L4" s="2" t="s">
        <v>66</v>
      </c>
      <c r="M4" s="2">
        <v>2</v>
      </c>
      <c r="N4" s="2">
        <v>10000</v>
      </c>
      <c r="O4" s="2">
        <v>14</v>
      </c>
      <c r="P4" s="2">
        <v>7</v>
      </c>
      <c r="Q4" s="2" t="s">
        <v>47</v>
      </c>
      <c r="R4" s="3" t="str">
        <f t="shared" ref="R4:R7" si="2">R3</f>
        <v>results_TypicalSection_Invert_sides_Extreme T-I Derailment.xlsx</v>
      </c>
      <c r="S4" s="2" t="s">
        <v>66</v>
      </c>
      <c r="T4" s="2">
        <v>2</v>
      </c>
      <c r="U4" s="2">
        <v>10000</v>
      </c>
      <c r="V4" s="2">
        <v>14</v>
      </c>
      <c r="W4" s="2">
        <v>7</v>
      </c>
      <c r="X4" s="2" t="s">
        <v>64</v>
      </c>
      <c r="Y4" s="3" t="str">
        <f t="shared" ref="Y4:Y7" si="3">Y3</f>
        <v>results_TypicalSection_Invert_sides_Extreme T-I Fire.xlsx</v>
      </c>
      <c r="Z4" s="2" t="s">
        <v>66</v>
      </c>
      <c r="AA4" s="2">
        <v>2</v>
      </c>
      <c r="AB4" s="2">
        <v>10000</v>
      </c>
      <c r="AC4" s="2">
        <v>14</v>
      </c>
      <c r="AD4" s="2">
        <v>7</v>
      </c>
      <c r="AE4" s="2" t="s">
        <v>65</v>
      </c>
    </row>
    <row r="5" spans="1:52" ht="201.6" customHeight="1" thickBot="1" x14ac:dyDescent="0.3">
      <c r="A5" s="2" t="s">
        <v>110</v>
      </c>
      <c r="B5" s="2" t="s">
        <v>118</v>
      </c>
      <c r="C5" s="2" t="s">
        <v>55</v>
      </c>
      <c r="D5" s="2">
        <v>1</v>
      </c>
      <c r="E5" s="2">
        <v>2</v>
      </c>
      <c r="F5" s="2">
        <v>10</v>
      </c>
      <c r="G5" s="2">
        <v>41</v>
      </c>
      <c r="H5" s="2">
        <v>43</v>
      </c>
      <c r="I5" s="2">
        <v>74</v>
      </c>
      <c r="J5" s="2" t="str">
        <f t="shared" si="0"/>
        <v>Typical Section Invert - sides</v>
      </c>
      <c r="K5" s="3" t="str">
        <f t="shared" si="1"/>
        <v>results_TypicalSection_Invert_sides_Strength T-I.xlsx</v>
      </c>
      <c r="L5" s="2" t="s">
        <v>66</v>
      </c>
      <c r="M5" s="2">
        <v>2</v>
      </c>
      <c r="N5" s="2">
        <v>10000</v>
      </c>
      <c r="O5" s="2">
        <v>15</v>
      </c>
      <c r="P5" s="2">
        <v>8</v>
      </c>
      <c r="Q5" s="2" t="s">
        <v>47</v>
      </c>
      <c r="R5" s="3" t="str">
        <f t="shared" si="2"/>
        <v>results_TypicalSection_Invert_sides_Extreme T-I Derailment.xlsx</v>
      </c>
      <c r="S5" s="2" t="s">
        <v>66</v>
      </c>
      <c r="T5" s="2">
        <v>2</v>
      </c>
      <c r="U5" s="2">
        <v>10000</v>
      </c>
      <c r="V5" s="2">
        <v>15</v>
      </c>
      <c r="W5" s="2">
        <v>8</v>
      </c>
      <c r="X5" s="2" t="s">
        <v>64</v>
      </c>
      <c r="Y5" s="3" t="str">
        <f t="shared" si="3"/>
        <v>results_TypicalSection_Invert_sides_Extreme T-I Fire.xlsx</v>
      </c>
      <c r="Z5" s="2" t="s">
        <v>66</v>
      </c>
      <c r="AA5" s="2">
        <v>2</v>
      </c>
      <c r="AB5" s="2">
        <v>10000</v>
      </c>
      <c r="AC5" s="2">
        <v>15</v>
      </c>
      <c r="AD5" s="2">
        <v>8</v>
      </c>
      <c r="AE5" s="2" t="s">
        <v>65</v>
      </c>
    </row>
    <row r="6" spans="1:52" ht="237.6" customHeight="1" thickBot="1" x14ac:dyDescent="0.3">
      <c r="A6" s="2" t="s">
        <v>111</v>
      </c>
      <c r="B6" s="2" t="s">
        <v>118</v>
      </c>
      <c r="C6" s="2" t="s">
        <v>63</v>
      </c>
      <c r="D6" s="2">
        <v>1</v>
      </c>
      <c r="E6" s="2">
        <v>2</v>
      </c>
      <c r="F6" s="2">
        <v>10</v>
      </c>
      <c r="G6" s="2">
        <v>41</v>
      </c>
      <c r="H6" s="2">
        <v>43</v>
      </c>
      <c r="I6" s="2">
        <v>74</v>
      </c>
      <c r="J6" s="2" t="str">
        <f t="shared" si="0"/>
        <v>Typical Section Invert - sides</v>
      </c>
      <c r="K6" s="3" t="str">
        <f t="shared" si="1"/>
        <v>results_TypicalSection_Invert_sides_Strength T-I.xlsx</v>
      </c>
      <c r="L6" s="2" t="s">
        <v>66</v>
      </c>
      <c r="M6" s="2">
        <v>2</v>
      </c>
      <c r="N6" s="2">
        <v>10000</v>
      </c>
      <c r="O6" s="2">
        <v>15</v>
      </c>
      <c r="P6" s="2">
        <v>8</v>
      </c>
      <c r="Q6" s="2" t="s">
        <v>47</v>
      </c>
      <c r="R6" s="3" t="str">
        <f t="shared" si="2"/>
        <v>results_TypicalSection_Invert_sides_Extreme T-I Derailment.xlsx</v>
      </c>
      <c r="S6" s="2" t="s">
        <v>66</v>
      </c>
      <c r="T6" s="2">
        <v>2</v>
      </c>
      <c r="U6" s="2">
        <v>10000</v>
      </c>
      <c r="V6" s="2">
        <v>15</v>
      </c>
      <c r="W6" s="2">
        <v>8</v>
      </c>
      <c r="X6" s="2" t="s">
        <v>64</v>
      </c>
      <c r="Y6" s="3" t="str">
        <f t="shared" si="3"/>
        <v>results_TypicalSection_Invert_sides_Extreme T-I Fire.xlsx</v>
      </c>
      <c r="Z6" s="2" t="s">
        <v>66</v>
      </c>
      <c r="AA6" s="2">
        <v>2</v>
      </c>
      <c r="AB6" s="2">
        <v>10000</v>
      </c>
      <c r="AC6" s="2">
        <v>15</v>
      </c>
      <c r="AD6" s="2">
        <v>8</v>
      </c>
      <c r="AE6" s="2" t="s">
        <v>65</v>
      </c>
    </row>
    <row r="7" spans="1:52" ht="217.5" customHeight="1" thickBot="1" x14ac:dyDescent="0.3">
      <c r="A7" s="2" t="s">
        <v>112</v>
      </c>
      <c r="B7" s="2" t="s">
        <v>118</v>
      </c>
      <c r="C7" s="2" t="s">
        <v>59</v>
      </c>
      <c r="D7" s="2">
        <v>1</v>
      </c>
      <c r="E7" s="2">
        <v>2</v>
      </c>
      <c r="F7" s="2">
        <v>10</v>
      </c>
      <c r="G7" s="2">
        <v>41</v>
      </c>
      <c r="H7" s="2">
        <v>43</v>
      </c>
      <c r="I7" s="2">
        <v>74</v>
      </c>
      <c r="J7" s="2" t="str">
        <f t="shared" si="0"/>
        <v>Typical Section Invert - sides</v>
      </c>
      <c r="K7" s="3" t="str">
        <f t="shared" si="1"/>
        <v>results_TypicalSection_Invert_sides_Strength T-I.xlsx</v>
      </c>
      <c r="L7" s="2" t="s">
        <v>66</v>
      </c>
      <c r="M7" s="2">
        <v>2</v>
      </c>
      <c r="N7" s="2">
        <v>10000</v>
      </c>
      <c r="O7" s="2">
        <v>15</v>
      </c>
      <c r="P7" s="2">
        <v>8</v>
      </c>
      <c r="Q7" s="2" t="s">
        <v>47</v>
      </c>
      <c r="R7" s="3" t="str">
        <f t="shared" si="2"/>
        <v>results_TypicalSection_Invert_sides_Extreme T-I Derailment.xlsx</v>
      </c>
      <c r="S7" s="2" t="s">
        <v>66</v>
      </c>
      <c r="T7" s="2">
        <v>2</v>
      </c>
      <c r="U7" s="2">
        <v>10000</v>
      </c>
      <c r="V7" s="2">
        <v>15</v>
      </c>
      <c r="W7" s="2">
        <v>8</v>
      </c>
      <c r="X7" s="2" t="s">
        <v>64</v>
      </c>
      <c r="Y7" s="3" t="str">
        <f t="shared" si="3"/>
        <v>results_TypicalSection_Invert_sides_Extreme T-I Fire.xlsx</v>
      </c>
      <c r="Z7" s="2" t="s">
        <v>66</v>
      </c>
      <c r="AA7" s="2">
        <v>2</v>
      </c>
      <c r="AB7" s="2">
        <v>10000</v>
      </c>
      <c r="AC7" s="2">
        <v>15</v>
      </c>
      <c r="AD7" s="2">
        <v>8</v>
      </c>
      <c r="AE7" s="2" t="s">
        <v>65</v>
      </c>
    </row>
    <row r="8" spans="1:5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</row>
    <row r="9" spans="1:5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</row>
    <row r="10" spans="1:5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3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zoomScale="40" zoomScaleNormal="40" workbookViewId="0">
      <selection activeCell="L6" sqref="L6"/>
    </sheetView>
  </sheetViews>
  <sheetFormatPr defaultRowHeight="15" x14ac:dyDescent="0.25"/>
  <cols>
    <col min="1" max="2" width="14.42578125" customWidth="1"/>
    <col min="3" max="9" width="8.5703125" customWidth="1"/>
    <col min="10" max="11" width="18.42578125" customWidth="1"/>
    <col min="12" max="12" width="13.140625" customWidth="1"/>
    <col min="13" max="17" width="10" customWidth="1"/>
    <col min="18" max="18" width="24.85546875" customWidth="1"/>
    <col min="25" max="25" width="19.85546875" customWidth="1"/>
    <col min="26" max="26" width="8.7109375" customWidth="1"/>
    <col min="32" max="32" width="19" customWidth="1"/>
    <col min="39" max="39" width="20.85546875" customWidth="1"/>
    <col min="46" max="46" width="20.42578125" customWidth="1"/>
  </cols>
  <sheetData>
    <row r="1" spans="1:52" ht="45.75" thickBot="1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</row>
    <row r="2" spans="1:52" ht="197.45" customHeight="1" thickBot="1" x14ac:dyDescent="0.3">
      <c r="A2" s="2" t="s">
        <v>76</v>
      </c>
      <c r="B2" s="2" t="s">
        <v>118</v>
      </c>
      <c r="C2" s="2" t="s">
        <v>69</v>
      </c>
      <c r="D2" s="2">
        <v>1</v>
      </c>
      <c r="E2" s="2">
        <v>2</v>
      </c>
      <c r="F2" s="2">
        <v>10</v>
      </c>
      <c r="G2" s="2">
        <v>41</v>
      </c>
      <c r="H2" s="2">
        <v>43</v>
      </c>
      <c r="I2" s="2">
        <v>74</v>
      </c>
      <c r="J2" s="2" t="s">
        <v>91</v>
      </c>
      <c r="K2" s="3" t="s">
        <v>122</v>
      </c>
      <c r="L2" s="2" t="s">
        <v>66</v>
      </c>
      <c r="M2" s="2">
        <v>2</v>
      </c>
      <c r="N2" s="2">
        <v>10000</v>
      </c>
      <c r="O2" s="2">
        <v>14</v>
      </c>
      <c r="P2" s="2">
        <v>7</v>
      </c>
      <c r="Q2" s="2" t="s">
        <v>71</v>
      </c>
      <c r="R2" s="3"/>
      <c r="S2" s="2"/>
      <c r="T2" s="2"/>
      <c r="U2" s="2"/>
      <c r="V2" s="2"/>
      <c r="W2" s="2"/>
      <c r="X2" s="2"/>
      <c r="Y2" s="3"/>
      <c r="Z2" s="2"/>
      <c r="AA2" s="2"/>
      <c r="AB2" s="2"/>
      <c r="AC2" s="2"/>
      <c r="AD2" s="2"/>
      <c r="AE2" s="2"/>
      <c r="AF2" s="3"/>
      <c r="AG2" s="2"/>
      <c r="AH2" s="2"/>
      <c r="AI2" s="2"/>
      <c r="AJ2" s="2"/>
      <c r="AK2" s="2"/>
      <c r="AL2" s="2"/>
      <c r="AM2" s="3"/>
      <c r="AN2" s="2"/>
      <c r="AO2" s="2"/>
      <c r="AP2" s="2"/>
      <c r="AQ2" s="2"/>
      <c r="AR2" s="2"/>
      <c r="AS2" s="2"/>
      <c r="AT2" s="3"/>
      <c r="AU2" s="2"/>
      <c r="AV2" s="2"/>
      <c r="AW2" s="2"/>
      <c r="AX2" s="2"/>
      <c r="AY2" s="2"/>
      <c r="AZ2" s="2"/>
    </row>
    <row r="3" spans="1:52" ht="201.6" customHeight="1" thickBot="1" x14ac:dyDescent="0.3">
      <c r="A3" s="2" t="s">
        <v>88</v>
      </c>
      <c r="B3" s="2" t="s">
        <v>118</v>
      </c>
      <c r="C3" s="2" t="s">
        <v>75</v>
      </c>
      <c r="D3" s="2">
        <v>1</v>
      </c>
      <c r="E3" s="2">
        <v>2</v>
      </c>
      <c r="F3" s="2">
        <v>10</v>
      </c>
      <c r="G3" s="2">
        <v>41</v>
      </c>
      <c r="H3" s="2">
        <v>43</v>
      </c>
      <c r="I3" s="2">
        <v>74</v>
      </c>
      <c r="J3" s="2" t="str">
        <f>J2</f>
        <v>Typical Section Invert - sides (EQ)</v>
      </c>
      <c r="K3" s="3" t="s">
        <v>122</v>
      </c>
      <c r="L3" s="2" t="s">
        <v>66</v>
      </c>
      <c r="M3" s="2">
        <v>2</v>
      </c>
      <c r="N3" s="2">
        <v>10000</v>
      </c>
      <c r="O3" s="2">
        <v>14</v>
      </c>
      <c r="P3" s="2">
        <v>7</v>
      </c>
      <c r="Q3" s="2" t="s">
        <v>71</v>
      </c>
      <c r="R3" s="3"/>
      <c r="S3" s="2"/>
      <c r="T3" s="2"/>
      <c r="U3" s="2"/>
      <c r="V3" s="2"/>
      <c r="W3" s="2"/>
      <c r="X3" s="2"/>
      <c r="Y3" s="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7.45" customHeight="1" thickBot="1" x14ac:dyDescent="0.3">
      <c r="A4" s="2" t="s">
        <v>77</v>
      </c>
      <c r="B4" s="2" t="s">
        <v>118</v>
      </c>
      <c r="C4" s="2" t="s">
        <v>70</v>
      </c>
      <c r="D4" s="2">
        <v>1</v>
      </c>
      <c r="E4" s="2">
        <v>2</v>
      </c>
      <c r="F4" s="2">
        <v>10</v>
      </c>
      <c r="G4" s="2">
        <v>41</v>
      </c>
      <c r="H4" s="2">
        <v>43</v>
      </c>
      <c r="I4" s="2">
        <v>74</v>
      </c>
      <c r="J4" s="2" t="str">
        <f t="shared" ref="J4:J7" si="0">J3</f>
        <v>Typical Section Invert - sides (EQ)</v>
      </c>
      <c r="K4" s="3" t="str">
        <f>K3</f>
        <v>results_TypicalSection_Invert_sides_Extreme T-I EQ.xlsx</v>
      </c>
      <c r="L4" s="2" t="s">
        <v>66</v>
      </c>
      <c r="M4" s="2">
        <v>2</v>
      </c>
      <c r="N4" s="2">
        <v>10000</v>
      </c>
      <c r="O4" s="2">
        <v>14</v>
      </c>
      <c r="P4" s="2">
        <v>7</v>
      </c>
      <c r="Q4" s="2" t="str">
        <f>Q3</f>
        <v>Extreme T-I EQ</v>
      </c>
      <c r="R4" s="3"/>
      <c r="S4" s="2"/>
      <c r="T4" s="2"/>
      <c r="U4" s="2"/>
      <c r="V4" s="2"/>
      <c r="W4" s="2"/>
      <c r="X4" s="2"/>
      <c r="Y4" s="3"/>
      <c r="Z4" s="2"/>
      <c r="AA4" s="2"/>
      <c r="AB4" s="2"/>
      <c r="AC4" s="2"/>
      <c r="AD4" s="2"/>
      <c r="AE4" s="2"/>
    </row>
    <row r="5" spans="1:52" ht="201.6" customHeight="1" thickBot="1" x14ac:dyDescent="0.3">
      <c r="A5" s="2" t="s">
        <v>78</v>
      </c>
      <c r="B5" s="2" t="s">
        <v>118</v>
      </c>
      <c r="C5" s="2" t="s">
        <v>69</v>
      </c>
      <c r="D5" s="2">
        <v>1</v>
      </c>
      <c r="E5" s="2">
        <v>2</v>
      </c>
      <c r="F5" s="2">
        <v>10</v>
      </c>
      <c r="G5" s="2">
        <v>41</v>
      </c>
      <c r="H5" s="2">
        <v>43</v>
      </c>
      <c r="I5" s="2">
        <v>74</v>
      </c>
      <c r="J5" s="2" t="str">
        <f t="shared" si="0"/>
        <v>Typical Section Invert - sides (EQ)</v>
      </c>
      <c r="K5" s="3" t="str">
        <f t="shared" ref="K5:K7" si="1">K4</f>
        <v>results_TypicalSection_Invert_sides_Extreme T-I EQ.xlsx</v>
      </c>
      <c r="L5" s="2" t="s">
        <v>66</v>
      </c>
      <c r="M5" s="2">
        <v>2</v>
      </c>
      <c r="N5" s="2">
        <v>10000</v>
      </c>
      <c r="O5" s="2">
        <v>15</v>
      </c>
      <c r="P5" s="2">
        <v>8</v>
      </c>
      <c r="Q5" s="2" t="str">
        <f t="shared" ref="Q5:Q7" si="2">Q4</f>
        <v>Extreme T-I EQ</v>
      </c>
      <c r="R5" s="3"/>
      <c r="S5" s="2"/>
      <c r="T5" s="2"/>
      <c r="U5" s="2"/>
      <c r="V5" s="2"/>
      <c r="W5" s="2"/>
      <c r="X5" s="2"/>
      <c r="Y5" s="3"/>
      <c r="Z5" s="2"/>
      <c r="AA5" s="2"/>
      <c r="AB5" s="2"/>
      <c r="AC5" s="2"/>
      <c r="AD5" s="2"/>
      <c r="AE5" s="2"/>
    </row>
    <row r="6" spans="1:52" ht="237.6" customHeight="1" thickBot="1" x14ac:dyDescent="0.3">
      <c r="A6" s="2" t="s">
        <v>79</v>
      </c>
      <c r="B6" s="2" t="s">
        <v>118</v>
      </c>
      <c r="C6" s="2" t="s">
        <v>75</v>
      </c>
      <c r="D6" s="2">
        <v>1</v>
      </c>
      <c r="E6" s="2">
        <v>2</v>
      </c>
      <c r="F6" s="2">
        <v>10</v>
      </c>
      <c r="G6" s="2">
        <v>41</v>
      </c>
      <c r="H6" s="2">
        <v>43</v>
      </c>
      <c r="I6" s="2">
        <v>74</v>
      </c>
      <c r="J6" s="2" t="str">
        <f t="shared" si="0"/>
        <v>Typical Section Invert - sides (EQ)</v>
      </c>
      <c r="K6" s="3" t="str">
        <f t="shared" si="1"/>
        <v>results_TypicalSection_Invert_sides_Extreme T-I EQ.xlsx</v>
      </c>
      <c r="L6" s="2" t="s">
        <v>66</v>
      </c>
      <c r="M6" s="2">
        <v>2</v>
      </c>
      <c r="N6" s="2">
        <v>10000</v>
      </c>
      <c r="O6" s="2">
        <v>15</v>
      </c>
      <c r="P6" s="2">
        <v>8</v>
      </c>
      <c r="Q6" s="2" t="str">
        <f t="shared" si="2"/>
        <v>Extreme T-I EQ</v>
      </c>
      <c r="R6" s="3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</row>
    <row r="7" spans="1:52" ht="217.5" customHeight="1" thickBot="1" x14ac:dyDescent="0.3">
      <c r="A7" s="2" t="s">
        <v>89</v>
      </c>
      <c r="B7" s="2" t="s">
        <v>118</v>
      </c>
      <c r="C7" s="2" t="s">
        <v>70</v>
      </c>
      <c r="D7" s="2">
        <v>1</v>
      </c>
      <c r="E7" s="2">
        <v>2</v>
      </c>
      <c r="F7" s="2">
        <v>10</v>
      </c>
      <c r="G7" s="2">
        <v>41</v>
      </c>
      <c r="H7" s="2">
        <v>43</v>
      </c>
      <c r="I7" s="2">
        <v>74</v>
      </c>
      <c r="J7" s="2" t="str">
        <f t="shared" si="0"/>
        <v>Typical Section Invert - sides (EQ)</v>
      </c>
      <c r="K7" s="3" t="str">
        <f t="shared" si="1"/>
        <v>results_TypicalSection_Invert_sides_Extreme T-I EQ.xlsx</v>
      </c>
      <c r="L7" s="2" t="s">
        <v>66</v>
      </c>
      <c r="M7" s="2">
        <v>2</v>
      </c>
      <c r="N7" s="2">
        <v>10000</v>
      </c>
      <c r="O7" s="2">
        <v>15</v>
      </c>
      <c r="P7" s="2">
        <v>8</v>
      </c>
      <c r="Q7" s="2" t="str">
        <f t="shared" si="2"/>
        <v>Extreme T-I EQ</v>
      </c>
      <c r="R7" s="3"/>
      <c r="S7" s="2"/>
      <c r="T7" s="2"/>
      <c r="U7" s="2"/>
      <c r="V7" s="2"/>
      <c r="W7" s="2"/>
      <c r="X7" s="2"/>
      <c r="Y7" s="3"/>
      <c r="Z7" s="2"/>
      <c r="AA7" s="2"/>
      <c r="AB7" s="2"/>
      <c r="AC7" s="2"/>
      <c r="AD7" s="2"/>
      <c r="AE7" s="2"/>
    </row>
    <row r="8" spans="1:5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</row>
    <row r="9" spans="1:5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</row>
    <row r="10" spans="1:5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3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zoomScale="55" zoomScaleNormal="55" workbookViewId="0">
      <selection activeCell="L6" sqref="L6"/>
    </sheetView>
  </sheetViews>
  <sheetFormatPr defaultRowHeight="15" x14ac:dyDescent="0.25"/>
  <cols>
    <col min="1" max="2" width="14.42578125" customWidth="1"/>
    <col min="3" max="9" width="8.5703125" customWidth="1"/>
    <col min="10" max="11" width="18.42578125" customWidth="1"/>
    <col min="12" max="12" width="13.140625" customWidth="1"/>
    <col min="13" max="17" width="10" customWidth="1"/>
    <col min="18" max="18" width="24.85546875" customWidth="1"/>
    <col min="25" max="25" width="19.85546875" customWidth="1"/>
    <col min="26" max="26" width="8.7109375" customWidth="1"/>
    <col min="32" max="32" width="19" customWidth="1"/>
    <col min="39" max="39" width="20.85546875" customWidth="1"/>
    <col min="46" max="46" width="20.42578125" customWidth="1"/>
  </cols>
  <sheetData>
    <row r="1" spans="1:52" ht="45.75" thickBot="1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</row>
    <row r="2" spans="1:52" ht="201.6" customHeight="1" thickBot="1" x14ac:dyDescent="0.3">
      <c r="A2" s="2" t="s">
        <v>84</v>
      </c>
      <c r="B2" s="2" t="s">
        <v>118</v>
      </c>
      <c r="C2" s="2" t="s">
        <v>74</v>
      </c>
      <c r="D2" s="2">
        <v>1</v>
      </c>
      <c r="E2" s="2">
        <v>2</v>
      </c>
      <c r="F2" s="2">
        <v>10</v>
      </c>
      <c r="G2" s="2">
        <v>41</v>
      </c>
      <c r="H2" s="2">
        <v>43</v>
      </c>
      <c r="I2" s="2">
        <v>74</v>
      </c>
      <c r="J2" s="2" t="s">
        <v>67</v>
      </c>
      <c r="K2" s="3" t="s">
        <v>123</v>
      </c>
      <c r="L2" s="2" t="s">
        <v>66</v>
      </c>
      <c r="M2" s="2">
        <v>2</v>
      </c>
      <c r="N2" s="2">
        <v>10000</v>
      </c>
      <c r="O2" s="2">
        <v>14</v>
      </c>
      <c r="P2" s="2">
        <v>7</v>
      </c>
      <c r="Q2" s="2" t="s">
        <v>47</v>
      </c>
      <c r="R2" s="3" t="s">
        <v>124</v>
      </c>
      <c r="S2" s="2" t="s">
        <v>66</v>
      </c>
      <c r="T2" s="2">
        <v>2</v>
      </c>
      <c r="U2" s="2">
        <v>10000</v>
      </c>
      <c r="V2" s="2">
        <v>14</v>
      </c>
      <c r="W2" s="2">
        <v>7</v>
      </c>
      <c r="X2" s="2" t="s">
        <v>64</v>
      </c>
      <c r="Y2" s="3" t="s">
        <v>125</v>
      </c>
      <c r="Z2" s="2" t="s">
        <v>66</v>
      </c>
      <c r="AA2" s="2">
        <v>2</v>
      </c>
      <c r="AB2" s="2">
        <v>10000</v>
      </c>
      <c r="AC2" s="2">
        <v>14</v>
      </c>
      <c r="AD2" s="2">
        <v>7</v>
      </c>
      <c r="AE2" s="2" t="s">
        <v>65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01.6" customHeight="1" thickBot="1" x14ac:dyDescent="0.3">
      <c r="A3" s="2" t="s">
        <v>93</v>
      </c>
      <c r="B3" s="2" t="s">
        <v>118</v>
      </c>
      <c r="C3" s="2" t="s">
        <v>72</v>
      </c>
      <c r="D3" s="2">
        <v>1</v>
      </c>
      <c r="E3" s="2">
        <v>2</v>
      </c>
      <c r="F3" s="2">
        <v>10</v>
      </c>
      <c r="G3" s="2">
        <v>41</v>
      </c>
      <c r="H3" s="2">
        <v>43</v>
      </c>
      <c r="I3" s="2">
        <v>74</v>
      </c>
      <c r="J3" s="2" t="s">
        <v>67</v>
      </c>
      <c r="K3" s="3" t="str">
        <f>K2</f>
        <v>results_TypicalSection_Invert_Central_Strength T-I.xlsx</v>
      </c>
      <c r="L3" s="2" t="s">
        <v>66</v>
      </c>
      <c r="M3" s="2">
        <v>2</v>
      </c>
      <c r="N3" s="2">
        <v>10000</v>
      </c>
      <c r="O3" s="2">
        <v>14</v>
      </c>
      <c r="P3" s="2">
        <v>7</v>
      </c>
      <c r="Q3" s="2" t="s">
        <v>47</v>
      </c>
      <c r="R3" s="3" t="str">
        <f>R2</f>
        <v>results_TypicalSection_Invert_Central_Extreme T-I Derailment.xlsx</v>
      </c>
      <c r="S3" s="2" t="s">
        <v>66</v>
      </c>
      <c r="T3" s="2">
        <v>2</v>
      </c>
      <c r="U3" s="2">
        <v>10000</v>
      </c>
      <c r="V3" s="2">
        <v>14</v>
      </c>
      <c r="W3" s="2">
        <v>7</v>
      </c>
      <c r="X3" s="2" t="s">
        <v>64</v>
      </c>
      <c r="Y3" s="3" t="str">
        <f>Y2</f>
        <v>results_TypicalSection_Invert_Central_Extreme T-I Fire.xlsx</v>
      </c>
      <c r="Z3" s="2" t="s">
        <v>66</v>
      </c>
      <c r="AA3" s="2">
        <v>2</v>
      </c>
      <c r="AB3" s="2">
        <v>10000</v>
      </c>
      <c r="AC3" s="2">
        <v>14</v>
      </c>
      <c r="AD3" s="2">
        <v>7</v>
      </c>
      <c r="AE3" s="2" t="s">
        <v>65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97.45" customHeight="1" thickBot="1" x14ac:dyDescent="0.3">
      <c r="A4" s="2" t="s">
        <v>85</v>
      </c>
      <c r="B4" s="2" t="s">
        <v>118</v>
      </c>
      <c r="C4" s="2" t="s">
        <v>94</v>
      </c>
      <c r="D4" s="2">
        <v>1</v>
      </c>
      <c r="E4" s="2">
        <v>2</v>
      </c>
      <c r="F4" s="2">
        <v>10</v>
      </c>
      <c r="G4" s="2">
        <v>41</v>
      </c>
      <c r="H4" s="2">
        <v>43</v>
      </c>
      <c r="I4" s="2">
        <v>74</v>
      </c>
      <c r="J4" s="2" t="s">
        <v>67</v>
      </c>
      <c r="K4" s="3" t="str">
        <f>K2</f>
        <v>results_TypicalSection_Invert_Central_Strength T-I.xlsx</v>
      </c>
      <c r="L4" s="2" t="s">
        <v>66</v>
      </c>
      <c r="M4" s="2">
        <v>2</v>
      </c>
      <c r="N4" s="2">
        <v>10000</v>
      </c>
      <c r="O4" s="2">
        <v>14</v>
      </c>
      <c r="P4" s="2">
        <v>7</v>
      </c>
      <c r="Q4" s="2" t="s">
        <v>47</v>
      </c>
      <c r="R4" s="3" t="str">
        <f>R2</f>
        <v>results_TypicalSection_Invert_Central_Extreme T-I Derailment.xlsx</v>
      </c>
      <c r="S4" s="2" t="s">
        <v>66</v>
      </c>
      <c r="T4" s="2">
        <v>2</v>
      </c>
      <c r="U4" s="2">
        <v>10000</v>
      </c>
      <c r="V4" s="2">
        <v>14</v>
      </c>
      <c r="W4" s="2">
        <v>7</v>
      </c>
      <c r="X4" s="2" t="s">
        <v>64</v>
      </c>
      <c r="Y4" s="3" t="str">
        <f>Y2</f>
        <v>results_TypicalSection_Invert_Central_Extreme T-I Fire.xlsx</v>
      </c>
      <c r="Z4" s="2" t="s">
        <v>66</v>
      </c>
      <c r="AA4" s="2">
        <v>2</v>
      </c>
      <c r="AB4" s="2">
        <v>10000</v>
      </c>
      <c r="AC4" s="2">
        <v>14</v>
      </c>
      <c r="AD4" s="2">
        <v>7</v>
      </c>
      <c r="AE4" s="2" t="s">
        <v>65</v>
      </c>
    </row>
    <row r="5" spans="1:52" ht="237.6" customHeight="1" thickBot="1" x14ac:dyDescent="0.3">
      <c r="A5" s="2" t="s">
        <v>86</v>
      </c>
      <c r="B5" s="2" t="s">
        <v>118</v>
      </c>
      <c r="C5" s="2" t="s">
        <v>74</v>
      </c>
      <c r="D5" s="2">
        <v>1</v>
      </c>
      <c r="E5" s="2">
        <v>2</v>
      </c>
      <c r="F5" s="2">
        <v>10</v>
      </c>
      <c r="G5" s="2">
        <v>41</v>
      </c>
      <c r="H5" s="2">
        <v>43</v>
      </c>
      <c r="I5" s="2">
        <v>74</v>
      </c>
      <c r="J5" s="2" t="s">
        <v>67</v>
      </c>
      <c r="K5" s="3" t="str">
        <f>K4</f>
        <v>results_TypicalSection_Invert_Central_Strength T-I.xlsx</v>
      </c>
      <c r="L5" s="2" t="s">
        <v>66</v>
      </c>
      <c r="M5" s="2">
        <v>2</v>
      </c>
      <c r="N5" s="2">
        <v>10000</v>
      </c>
      <c r="O5" s="2">
        <v>15</v>
      </c>
      <c r="P5" s="2">
        <v>8</v>
      </c>
      <c r="Q5" s="2" t="s">
        <v>47</v>
      </c>
      <c r="R5" s="3" t="str">
        <f>R4</f>
        <v>results_TypicalSection_Invert_Central_Extreme T-I Derailment.xlsx</v>
      </c>
      <c r="S5" s="2" t="s">
        <v>66</v>
      </c>
      <c r="T5" s="2">
        <v>2</v>
      </c>
      <c r="U5" s="2">
        <v>10000</v>
      </c>
      <c r="V5" s="2">
        <v>15</v>
      </c>
      <c r="W5" s="2">
        <v>8</v>
      </c>
      <c r="X5" s="2" t="s">
        <v>64</v>
      </c>
      <c r="Y5" s="3" t="str">
        <f>Y4</f>
        <v>results_TypicalSection_Invert_Central_Extreme T-I Fire.xlsx</v>
      </c>
      <c r="Z5" s="2" t="s">
        <v>66</v>
      </c>
      <c r="AA5" s="2">
        <v>2</v>
      </c>
      <c r="AB5" s="2">
        <v>10000</v>
      </c>
      <c r="AC5" s="2">
        <v>15</v>
      </c>
      <c r="AD5" s="2">
        <v>8</v>
      </c>
      <c r="AE5" s="2" t="s">
        <v>65</v>
      </c>
    </row>
    <row r="6" spans="1:52" ht="237.6" customHeight="1" thickBot="1" x14ac:dyDescent="0.3">
      <c r="A6" s="2" t="s">
        <v>87</v>
      </c>
      <c r="B6" s="2" t="s">
        <v>118</v>
      </c>
      <c r="C6" s="2" t="s">
        <v>72</v>
      </c>
      <c r="D6" s="2">
        <v>1</v>
      </c>
      <c r="E6" s="2">
        <v>2</v>
      </c>
      <c r="F6" s="2">
        <v>10</v>
      </c>
      <c r="G6" s="2">
        <v>41</v>
      </c>
      <c r="H6" s="2">
        <v>43</v>
      </c>
      <c r="I6" s="2">
        <v>74</v>
      </c>
      <c r="J6" s="2" t="s">
        <v>67</v>
      </c>
      <c r="K6" s="3" t="str">
        <f>K5</f>
        <v>results_TypicalSection_Invert_Central_Strength T-I.xlsx</v>
      </c>
      <c r="L6" s="2" t="s">
        <v>66</v>
      </c>
      <c r="M6" s="2">
        <v>2</v>
      </c>
      <c r="N6" s="2">
        <v>10000</v>
      </c>
      <c r="O6" s="2">
        <v>15</v>
      </c>
      <c r="P6" s="2">
        <v>8</v>
      </c>
      <c r="Q6" s="2" t="s">
        <v>47</v>
      </c>
      <c r="R6" s="3" t="str">
        <f>R5</f>
        <v>results_TypicalSection_Invert_Central_Extreme T-I Derailment.xlsx</v>
      </c>
      <c r="S6" s="2" t="s">
        <v>66</v>
      </c>
      <c r="T6" s="2">
        <v>2</v>
      </c>
      <c r="U6" s="2">
        <v>10000</v>
      </c>
      <c r="V6" s="2">
        <v>15</v>
      </c>
      <c r="W6" s="2">
        <v>8</v>
      </c>
      <c r="X6" s="2" t="s">
        <v>64</v>
      </c>
      <c r="Y6" s="3" t="str">
        <f>Y5</f>
        <v>results_TypicalSection_Invert_Central_Extreme T-I Fire.xlsx</v>
      </c>
      <c r="Z6" s="2" t="s">
        <v>66</v>
      </c>
      <c r="AA6" s="2">
        <v>2</v>
      </c>
      <c r="AB6" s="2">
        <v>10000</v>
      </c>
      <c r="AC6" s="2">
        <v>15</v>
      </c>
      <c r="AD6" s="2">
        <v>8</v>
      </c>
      <c r="AE6" s="2" t="s">
        <v>65</v>
      </c>
    </row>
    <row r="7" spans="1:52" ht="217.5" customHeight="1" thickBot="1" x14ac:dyDescent="0.3">
      <c r="A7" s="2" t="s">
        <v>103</v>
      </c>
      <c r="B7" s="2" t="s">
        <v>118</v>
      </c>
      <c r="C7" s="2" t="s">
        <v>94</v>
      </c>
      <c r="D7" s="2">
        <v>1</v>
      </c>
      <c r="E7" s="2">
        <v>2</v>
      </c>
      <c r="F7" s="2">
        <v>10</v>
      </c>
      <c r="G7" s="2">
        <v>41</v>
      </c>
      <c r="H7" s="2">
        <v>43</v>
      </c>
      <c r="I7" s="2">
        <v>74</v>
      </c>
      <c r="J7" s="2" t="s">
        <v>73</v>
      </c>
      <c r="K7" s="3" t="str">
        <f t="shared" ref="K7" si="0">K5</f>
        <v>results_TypicalSection_Invert_Central_Strength T-I.xlsx</v>
      </c>
      <c r="L7" s="2" t="s">
        <v>66</v>
      </c>
      <c r="M7" s="2">
        <v>2</v>
      </c>
      <c r="N7" s="2">
        <v>10000</v>
      </c>
      <c r="O7" s="2">
        <v>15</v>
      </c>
      <c r="P7" s="2">
        <v>8</v>
      </c>
      <c r="Q7" s="2" t="s">
        <v>47</v>
      </c>
      <c r="R7" s="3" t="str">
        <f t="shared" ref="R7" si="1">R5</f>
        <v>results_TypicalSection_Invert_Central_Extreme T-I Derailment.xlsx</v>
      </c>
      <c r="S7" s="2" t="s">
        <v>66</v>
      </c>
      <c r="T7" s="2">
        <v>2</v>
      </c>
      <c r="U7" s="2">
        <v>10000</v>
      </c>
      <c r="V7" s="2">
        <v>15</v>
      </c>
      <c r="W7" s="2">
        <v>8</v>
      </c>
      <c r="X7" s="2" t="s">
        <v>64</v>
      </c>
      <c r="Y7" s="3" t="str">
        <f t="shared" ref="Y7" si="2">Y5</f>
        <v>results_TypicalSection_Invert_Central_Extreme T-I Fire.xlsx</v>
      </c>
      <c r="Z7" s="2" t="s">
        <v>66</v>
      </c>
      <c r="AA7" s="2">
        <v>2</v>
      </c>
      <c r="AB7" s="2">
        <v>10000</v>
      </c>
      <c r="AC7" s="2">
        <v>15</v>
      </c>
      <c r="AD7" s="2">
        <v>8</v>
      </c>
      <c r="AE7" s="2" t="s">
        <v>65</v>
      </c>
    </row>
    <row r="8" spans="1:5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</row>
    <row r="9" spans="1:5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</row>
    <row r="10" spans="1:5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3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zoomScale="40" zoomScaleNormal="40" workbookViewId="0">
      <selection activeCell="L6" sqref="L6"/>
    </sheetView>
  </sheetViews>
  <sheetFormatPr defaultRowHeight="15" x14ac:dyDescent="0.25"/>
  <cols>
    <col min="1" max="2" width="14.42578125" customWidth="1"/>
    <col min="3" max="9" width="8.5703125" customWidth="1"/>
    <col min="10" max="11" width="18.42578125" customWidth="1"/>
    <col min="12" max="12" width="13.140625" customWidth="1"/>
    <col min="13" max="17" width="10" customWidth="1"/>
    <col min="18" max="18" width="24.85546875" customWidth="1"/>
    <col min="25" max="25" width="19.85546875" customWidth="1"/>
    <col min="26" max="26" width="8.7109375" customWidth="1"/>
    <col min="32" max="32" width="19" customWidth="1"/>
    <col min="39" max="39" width="20.85546875" customWidth="1"/>
    <col min="46" max="46" width="20.42578125" customWidth="1"/>
  </cols>
  <sheetData>
    <row r="1" spans="1:52" ht="45.75" thickBot="1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</row>
    <row r="2" spans="1:52" ht="201.6" customHeight="1" thickBot="1" x14ac:dyDescent="0.3">
      <c r="A2" s="2" t="s">
        <v>80</v>
      </c>
      <c r="B2" s="2" t="s">
        <v>118</v>
      </c>
      <c r="C2" s="2" t="s">
        <v>104</v>
      </c>
      <c r="D2" s="2">
        <v>1</v>
      </c>
      <c r="E2" s="2">
        <v>2</v>
      </c>
      <c r="F2" s="2">
        <v>10</v>
      </c>
      <c r="G2" s="2">
        <v>41</v>
      </c>
      <c r="H2" s="2">
        <v>43</v>
      </c>
      <c r="I2" s="2">
        <v>74</v>
      </c>
      <c r="J2" s="2" t="s">
        <v>92</v>
      </c>
      <c r="K2" s="3" t="s">
        <v>126</v>
      </c>
      <c r="L2" s="2" t="s">
        <v>66</v>
      </c>
      <c r="M2" s="2">
        <v>2</v>
      </c>
      <c r="N2" s="2">
        <v>10000</v>
      </c>
      <c r="O2" s="2">
        <v>14</v>
      </c>
      <c r="P2" s="2">
        <v>7</v>
      </c>
      <c r="Q2" s="2" t="s">
        <v>71</v>
      </c>
      <c r="R2" s="3"/>
      <c r="S2" s="2"/>
      <c r="T2" s="2"/>
      <c r="U2" s="2"/>
      <c r="V2" s="2"/>
      <c r="W2" s="2"/>
      <c r="X2" s="2"/>
      <c r="Y2" s="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01.6" customHeight="1" thickBot="1" x14ac:dyDescent="0.3">
      <c r="A3" s="2" t="s">
        <v>96</v>
      </c>
      <c r="B3" s="2" t="s">
        <v>118</v>
      </c>
      <c r="C3" s="2" t="s">
        <v>105</v>
      </c>
      <c r="D3" s="2">
        <v>1</v>
      </c>
      <c r="E3" s="2">
        <v>2</v>
      </c>
      <c r="F3" s="2">
        <v>10</v>
      </c>
      <c r="G3" s="2">
        <v>41</v>
      </c>
      <c r="H3" s="2">
        <v>43</v>
      </c>
      <c r="I3" s="2">
        <v>74</v>
      </c>
      <c r="J3" s="2" t="str">
        <f>J2</f>
        <v>Typical Section Invert-central (EQ)</v>
      </c>
      <c r="K3" s="3" t="str">
        <f>K2</f>
        <v>results_TypicalSection_Invert_Central_Extreme T-I EQ.xlsx</v>
      </c>
      <c r="L3" s="2" t="s">
        <v>66</v>
      </c>
      <c r="M3" s="2">
        <v>2</v>
      </c>
      <c r="N3" s="2">
        <v>10000</v>
      </c>
      <c r="O3" s="2">
        <v>14</v>
      </c>
      <c r="P3" s="2">
        <v>7</v>
      </c>
      <c r="Q3" s="2" t="str">
        <f>Q1</f>
        <v>File1_Label</v>
      </c>
      <c r="R3" s="3"/>
      <c r="S3" s="2"/>
      <c r="T3" s="2"/>
      <c r="U3" s="2"/>
      <c r="V3" s="2"/>
      <c r="W3" s="2"/>
      <c r="X3" s="2"/>
      <c r="Y3" s="3"/>
      <c r="Z3" s="2"/>
      <c r="AA3" s="2"/>
      <c r="AB3" s="2"/>
      <c r="AC3" s="2"/>
      <c r="AD3" s="2"/>
      <c r="AE3" s="2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97.45" customHeight="1" thickBot="1" x14ac:dyDescent="0.3">
      <c r="A4" s="2" t="s">
        <v>81</v>
      </c>
      <c r="B4" s="2" t="s">
        <v>118</v>
      </c>
      <c r="C4" s="2" t="s">
        <v>106</v>
      </c>
      <c r="D4" s="2">
        <v>1</v>
      </c>
      <c r="E4" s="2">
        <v>2</v>
      </c>
      <c r="F4" s="2">
        <v>10</v>
      </c>
      <c r="G4" s="2">
        <v>41</v>
      </c>
      <c r="H4" s="2">
        <v>43</v>
      </c>
      <c r="I4" s="2">
        <v>74</v>
      </c>
      <c r="J4" s="2" t="str">
        <f>J2</f>
        <v>Typical Section Invert-central (EQ)</v>
      </c>
      <c r="K4" s="3" t="str">
        <f>K2</f>
        <v>results_TypicalSection_Invert_Central_Extreme T-I EQ.xlsx</v>
      </c>
      <c r="L4" s="2" t="s">
        <v>66</v>
      </c>
      <c r="M4" s="2">
        <v>2</v>
      </c>
      <c r="N4" s="2">
        <v>10000</v>
      </c>
      <c r="O4" s="2">
        <v>14</v>
      </c>
      <c r="P4" s="2">
        <v>7</v>
      </c>
      <c r="Q4" s="2" t="str">
        <f>Q2</f>
        <v>Extreme T-I EQ</v>
      </c>
      <c r="R4" s="3"/>
      <c r="S4" s="2"/>
      <c r="T4" s="2"/>
      <c r="U4" s="2"/>
      <c r="V4" s="2"/>
      <c r="W4" s="2"/>
      <c r="X4" s="2"/>
      <c r="Y4" s="3"/>
      <c r="Z4" s="2"/>
      <c r="AA4" s="2"/>
      <c r="AB4" s="2"/>
      <c r="AC4" s="2"/>
      <c r="AD4" s="2"/>
      <c r="AE4" s="2"/>
    </row>
    <row r="5" spans="1:52" ht="237.6" customHeight="1" thickBot="1" x14ac:dyDescent="0.3">
      <c r="A5" s="2" t="s">
        <v>82</v>
      </c>
      <c r="B5" s="2" t="s">
        <v>118</v>
      </c>
      <c r="C5" s="2" t="s">
        <v>104</v>
      </c>
      <c r="D5" s="2">
        <v>1</v>
      </c>
      <c r="E5" s="2">
        <v>2</v>
      </c>
      <c r="F5" s="2">
        <v>10</v>
      </c>
      <c r="G5" s="2">
        <v>41</v>
      </c>
      <c r="H5" s="2">
        <v>43</v>
      </c>
      <c r="I5" s="2">
        <v>74</v>
      </c>
      <c r="J5" s="2" t="str">
        <f t="shared" ref="J5" si="0">J4</f>
        <v>Typical Section Invert-central (EQ)</v>
      </c>
      <c r="K5" s="3" t="str">
        <f>K4</f>
        <v>results_TypicalSection_Invert_Central_Extreme T-I EQ.xlsx</v>
      </c>
      <c r="L5" s="2" t="s">
        <v>66</v>
      </c>
      <c r="M5" s="2">
        <v>2</v>
      </c>
      <c r="N5" s="2">
        <v>10000</v>
      </c>
      <c r="O5" s="2">
        <v>15</v>
      </c>
      <c r="P5" s="2">
        <v>8</v>
      </c>
      <c r="Q5" s="2" t="str">
        <f>Q4</f>
        <v>Extreme T-I EQ</v>
      </c>
      <c r="R5" s="3"/>
      <c r="S5" s="2"/>
      <c r="T5" s="2"/>
      <c r="U5" s="2"/>
      <c r="V5" s="2"/>
      <c r="W5" s="2"/>
      <c r="X5" s="2"/>
      <c r="Y5" s="3"/>
      <c r="Z5" s="2"/>
      <c r="AA5" s="2"/>
      <c r="AB5" s="2"/>
      <c r="AC5" s="2"/>
      <c r="AD5" s="2"/>
      <c r="AE5" s="2"/>
    </row>
    <row r="6" spans="1:52" ht="237.6" customHeight="1" thickBot="1" x14ac:dyDescent="0.3">
      <c r="A6" s="2" t="s">
        <v>83</v>
      </c>
      <c r="B6" s="2" t="s">
        <v>118</v>
      </c>
      <c r="C6" s="2" t="s">
        <v>105</v>
      </c>
      <c r="D6" s="2">
        <v>1</v>
      </c>
      <c r="E6" s="2">
        <v>2</v>
      </c>
      <c r="F6" s="2">
        <v>10</v>
      </c>
      <c r="G6" s="2">
        <v>41</v>
      </c>
      <c r="H6" s="2">
        <v>43</v>
      </c>
      <c r="I6" s="2">
        <v>74</v>
      </c>
      <c r="J6" s="2" t="str">
        <f>J4</f>
        <v>Typical Section Invert-central (EQ)</v>
      </c>
      <c r="K6" s="3" t="str">
        <f t="shared" ref="K6:K7" si="1">K4</f>
        <v>results_TypicalSection_Invert_Central_Extreme T-I EQ.xlsx</v>
      </c>
      <c r="L6" s="2" t="s">
        <v>66</v>
      </c>
      <c r="M6" s="2">
        <v>2</v>
      </c>
      <c r="N6" s="2">
        <v>10000</v>
      </c>
      <c r="O6" s="2">
        <v>15</v>
      </c>
      <c r="P6" s="2">
        <v>8</v>
      </c>
      <c r="Q6" s="2" t="str">
        <f t="shared" ref="Q6:Q7" si="2">Q4</f>
        <v>Extreme T-I EQ</v>
      </c>
      <c r="R6" s="3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</row>
    <row r="7" spans="1:52" ht="217.5" customHeight="1" thickBot="1" x14ac:dyDescent="0.3">
      <c r="A7" s="2" t="s">
        <v>95</v>
      </c>
      <c r="B7" s="2" t="s">
        <v>118</v>
      </c>
      <c r="C7" s="2" t="s">
        <v>106</v>
      </c>
      <c r="D7" s="2">
        <v>1</v>
      </c>
      <c r="E7" s="2">
        <v>2</v>
      </c>
      <c r="F7" s="2">
        <v>10</v>
      </c>
      <c r="G7" s="2">
        <v>41</v>
      </c>
      <c r="H7" s="2">
        <v>43</v>
      </c>
      <c r="I7" s="2">
        <v>74</v>
      </c>
      <c r="J7" s="2" t="str">
        <f>J5</f>
        <v>Typical Section Invert-central (EQ)</v>
      </c>
      <c r="K7" s="3" t="str">
        <f t="shared" si="1"/>
        <v>results_TypicalSection_Invert_Central_Extreme T-I EQ.xlsx</v>
      </c>
      <c r="L7" s="2" t="s">
        <v>66</v>
      </c>
      <c r="M7" s="2">
        <v>2</v>
      </c>
      <c r="N7" s="2">
        <v>10000</v>
      </c>
      <c r="O7" s="2">
        <v>15</v>
      </c>
      <c r="P7" s="2">
        <v>8</v>
      </c>
      <c r="Q7" s="2" t="str">
        <f t="shared" si="2"/>
        <v>Extreme T-I EQ</v>
      </c>
      <c r="R7" s="3"/>
      <c r="S7" s="2"/>
      <c r="T7" s="2"/>
      <c r="U7" s="2"/>
      <c r="V7" s="2"/>
      <c r="W7" s="2"/>
      <c r="X7" s="2"/>
      <c r="Y7" s="3"/>
      <c r="Z7" s="2"/>
      <c r="AA7" s="2"/>
      <c r="AB7" s="2"/>
      <c r="AC7" s="2"/>
      <c r="AD7" s="2"/>
      <c r="AE7" s="2"/>
    </row>
    <row r="8" spans="1:5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</row>
    <row r="9" spans="1:5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X9" s="2"/>
    </row>
    <row r="10" spans="1:5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3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1B64E865AF049B20A5C3366A924EB" ma:contentTypeVersion="13" ma:contentTypeDescription="Create a new document." ma:contentTypeScope="" ma:versionID="2db897fd7638951ede3161f8f25e5bd6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baf91899a129946f5d55dff89d199a2d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DC84AB26-6C1E-4B31-8E1D-38CD09FBF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cb452-595f-4b09-9a2b-5821f34c1115"/>
    <ds:schemaRef ds:uri="e71b708c-f31f-4bef-8390-69ad37fbb3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24F57B-DFCF-43C0-B401-87A55F7D8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23478B-584A-4990-A94B-09525ACC253E}">
  <ds:schemaRefs>
    <ds:schemaRef ds:uri="http://schemas.microsoft.com/office/2006/metadata/properties"/>
    <ds:schemaRef ds:uri="http://schemas.microsoft.com/office/infopath/2007/PartnerControls"/>
    <ds:schemaRef ds:uri="0cecb452-595f-4b09-9a2b-5821f34c1115"/>
    <ds:schemaRef ds:uri="e71b708c-f31f-4bef-8390-69ad37fbb3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TypicalSection</vt:lpstr>
      <vt:lpstr>TypicalSection_EQ_skip</vt:lpstr>
      <vt:lpstr>TypicalSection_Invert_sides</vt:lpstr>
      <vt:lpstr>TypicalSection_In_sid_EQ_Skip</vt:lpstr>
      <vt:lpstr>TypicalSection_Invert_central</vt:lpstr>
      <vt:lpstr>TypicalSection_Invert__EQ_skip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Rivero, Ignacio</dc:creator>
  <cp:lastModifiedBy>Juan Manuel G.A.</cp:lastModifiedBy>
  <dcterms:created xsi:type="dcterms:W3CDTF">2015-06-05T18:17:20Z</dcterms:created>
  <dcterms:modified xsi:type="dcterms:W3CDTF">2026-05-15T16:13:26Z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  <property fmtid="{D5CDD505-2E9C-101B-9397-08002B2CF9AE}" pid="3" name="MediaServiceImageTags">
    <vt:lpwstr/>
  </property>
</Properties>
</file>