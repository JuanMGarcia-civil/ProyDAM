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aecom.sharepoint.com/sites/EC_OLN/Shared Documents/General/400_Technical/440_Ground Engineering/04_Bain Adit/03_SPREADSHEETS/Sections capacity/"/>
    </mc:Choice>
  </mc:AlternateContent>
  <xr:revisionPtr revIDLastSave="65" documentId="11_6C29626A1759473254BC012AF90B1AF2CCA0C7C3" xr6:coauthVersionLast="47" xr6:coauthVersionMax="47" xr10:uidLastSave="{64B05C09-2FFC-4067-A904-997D5C43498F}"/>
  <bookViews>
    <workbookView xWindow="-110" yWindow="-110" windowWidth="19420" windowHeight="11500" activeTab="3" xr2:uid="{00000000-000D-0000-FFFF-FFFF00000000}"/>
  </bookViews>
  <sheets>
    <sheet name="10M-200" sheetId="4" r:id="rId1"/>
    <sheet name="15M-200" sheetId="6" r:id="rId2"/>
    <sheet name="20M-200" sheetId="7" r:id="rId3"/>
    <sheet name="T15-B20M-200" sheetId="8" r:id="rId4"/>
    <sheet name="25M-200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UnitForce">IF(Units="US","kip","kN")</definedName>
    <definedName name="UnitLength">IF(Units="US","in","mm")</definedName>
    <definedName name="UnitMoment">IF(Units="US","kip-ft","kN-M")</definedName>
    <definedName name="Units">[1]Calculations!$AJ$10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7" l="1"/>
  <c r="J9" i="7"/>
  <c r="H9" i="7"/>
  <c r="G9" i="7"/>
  <c r="E9" i="7"/>
  <c r="D9" i="7"/>
  <c r="B9" i="7"/>
  <c r="A9" i="7"/>
  <c r="B4" i="7"/>
  <c r="J3" i="7"/>
  <c r="E3" i="7"/>
  <c r="J2" i="7"/>
  <c r="J1" i="7"/>
  <c r="E1" i="7"/>
  <c r="A1" i="7"/>
  <c r="K9" i="6"/>
  <c r="J9" i="6"/>
  <c r="H9" i="6"/>
  <c r="G9" i="6"/>
  <c r="E9" i="6"/>
  <c r="D9" i="6"/>
  <c r="B9" i="6"/>
  <c r="A9" i="6"/>
  <c r="B4" i="6"/>
  <c r="J3" i="6"/>
  <c r="E3" i="6"/>
  <c r="J2" i="6"/>
  <c r="J1" i="6"/>
  <c r="E1" i="6"/>
  <c r="A1" i="6"/>
  <c r="K9" i="5"/>
  <c r="J9" i="5"/>
  <c r="H9" i="5"/>
  <c r="G9" i="5"/>
  <c r="E9" i="5"/>
  <c r="D9" i="5"/>
  <c r="B9" i="5"/>
  <c r="A9" i="5"/>
  <c r="B4" i="5"/>
  <c r="J3" i="5"/>
  <c r="E3" i="5"/>
  <c r="J2" i="5"/>
  <c r="J1" i="5"/>
  <c r="E1" i="5"/>
  <c r="A1" i="5"/>
  <c r="K9" i="4"/>
  <c r="J9" i="4"/>
  <c r="H9" i="4"/>
  <c r="G9" i="4"/>
  <c r="E9" i="4"/>
  <c r="D9" i="4"/>
  <c r="B9" i="4"/>
  <c r="A9" i="4"/>
  <c r="B4" i="4"/>
  <c r="J3" i="4"/>
  <c r="E3" i="4"/>
  <c r="J2" i="4"/>
  <c r="J1" i="4"/>
  <c r="E1" i="4"/>
  <c r="A1" i="4"/>
  <c r="K9" i="8"/>
  <c r="J9" i="8"/>
  <c r="H9" i="8"/>
  <c r="G9" i="8"/>
  <c r="E9" i="8"/>
  <c r="D9" i="8"/>
  <c r="B9" i="8"/>
  <c r="A9" i="8"/>
  <c r="B4" i="8"/>
  <c r="J3" i="8"/>
  <c r="E3" i="8"/>
  <c r="J2" i="8"/>
  <c r="J1" i="8"/>
  <c r="E1" i="8"/>
  <c r="A1" i="8"/>
  <c r="J4" i="6" l="1"/>
  <c r="J4" i="4" l="1"/>
  <c r="J4" i="5" l="1"/>
  <c r="J4" i="8" l="1"/>
  <c r="J4" i="7" l="1"/>
</calcChain>
</file>

<file path=xl/sharedStrings.xml><?xml version="1.0" encoding="utf-8"?>
<sst xmlns="http://schemas.openxmlformats.org/spreadsheetml/2006/main" count="90" uniqueCount="14">
  <si>
    <t xml:space="preserve"> Project:</t>
  </si>
  <si>
    <t xml:space="preserve"> Engineer:</t>
  </si>
  <si>
    <t xml:space="preserve"> Date:</t>
  </si>
  <si>
    <t>ShortCol</t>
  </si>
  <si>
    <t xml:space="preserve"> Subject:</t>
  </si>
  <si>
    <t xml:space="preserve"> Checker:</t>
  </si>
  <si>
    <t>Axial Force/Moment Interaction Diagram</t>
  </si>
  <si>
    <r>
      <t>φP</t>
    </r>
    <r>
      <rPr>
        <vertAlign val="subscript"/>
        <sz val="10"/>
        <rFont val="Arial"/>
        <family val="2"/>
      </rPr>
      <t>n</t>
    </r>
  </si>
  <si>
    <r>
      <t>φM</t>
    </r>
    <r>
      <rPr>
        <vertAlign val="subscript"/>
        <sz val="10"/>
        <rFont val="Arial"/>
        <family val="2"/>
      </rPr>
      <t>ny</t>
    </r>
  </si>
  <si>
    <t>φ</t>
  </si>
  <si>
    <t>N/A from
compression face</t>
  </si>
  <si>
    <t>Cracked moment inertia Icr</t>
  </si>
  <si>
    <r>
      <t>φM</t>
    </r>
    <r>
      <rPr>
        <vertAlign val="subscript"/>
        <sz val="10"/>
        <rFont val="Arial"/>
        <family val="2"/>
      </rPr>
      <t>nz</t>
    </r>
  </si>
  <si>
    <t>N/A from
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</si>
</sst>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[$-409]d\-mmm\-yy;@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2"/>
      <color indexed="12"/>
      <name val="Tahoma"/>
      <family val="2"/>
    </font>
    <font>
      <sz val="12"/>
      <name val="Tahoma"/>
      <family val="2"/>
    </font>
    <font>
      <sz val="8"/>
      <name val="Arial"/>
      <family val="2"/>
    </font>
    <font>
      <sz val="10"/>
      <color indexed="12"/>
      <name val="Tahoma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8"/>
      <name val="Tahoma"/>
      <family val="2"/>
    </font>
    <font>
      <b/>
      <sz val="10"/>
      <name val="Arial"/>
      <family val="2"/>
    </font>
    <font>
      <b/>
      <sz val="10"/>
      <color indexed="12"/>
      <name val="Tahoma"/>
      <family val="2"/>
    </font>
    <font>
      <b/>
      <sz val="14"/>
      <name val="Franklin Gothic Book"/>
      <family val="2"/>
    </font>
    <font>
      <vertAlign val="subscript"/>
      <sz val="10"/>
      <name val="Arial"/>
      <family val="2"/>
    </font>
    <font>
      <sz val="12"/>
      <name val="Arial"/>
      <family val="2"/>
    </font>
    <font>
      <sz val="10"/>
      <name val="Franklin Gothic Book"/>
      <family val="2"/>
    </font>
    <font>
      <sz val="10"/>
      <name val="Calibri"/>
      <family val="2"/>
    </font>
    <font>
      <u/>
      <sz val="10"/>
      <color indexed="12"/>
      <name val="Arial"/>
      <family val="2"/>
    </font>
    <font>
      <sz val="8"/>
      <color indexed="16"/>
      <name val="Tahoma"/>
      <family val="2"/>
    </font>
    <font>
      <sz val="10"/>
      <color indexed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41" fontId="5" fillId="0" borderId="0" applyFont="0" applyFill="0" applyBorder="0" applyAlignment="0" applyProtection="0"/>
    <xf numFmtId="0" fontId="17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8" fillId="6" borderId="21">
      <protection locked="0"/>
    </xf>
    <xf numFmtId="9" fontId="5" fillId="0" borderId="0" applyFont="0" applyFill="0" applyBorder="0" applyAlignment="0" applyProtection="0"/>
  </cellStyleXfs>
  <cellXfs count="45">
    <xf numFmtId="0" fontId="0" fillId="0" borderId="0" xfId="0"/>
    <xf numFmtId="0" fontId="8" fillId="3" borderId="12" xfId="4" applyFont="1" applyFill="1" applyBorder="1" applyAlignment="1" applyProtection="1">
      <alignment horizontal="center"/>
    </xf>
    <xf numFmtId="0" fontId="3" fillId="2" borderId="4" xfId="0" applyFont="1" applyFill="1" applyBorder="1" applyAlignment="1">
      <alignment vertical="center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>
      <alignment vertical="center"/>
    </xf>
    <xf numFmtId="0" fontId="3" fillId="2" borderId="9" xfId="0" applyFont="1" applyFill="1" applyBorder="1" applyProtection="1">
      <protection locked="0"/>
    </xf>
    <xf numFmtId="0" fontId="3" fillId="2" borderId="9" xfId="0" applyFont="1" applyFill="1" applyBorder="1" applyAlignment="1">
      <alignment vertical="center"/>
    </xf>
    <xf numFmtId="164" fontId="4" fillId="2" borderId="7" xfId="0" applyNumberFormat="1" applyFont="1" applyFill="1" applyBorder="1" applyAlignment="1" applyProtection="1">
      <alignment horizontal="center" vertical="center"/>
      <protection locked="0"/>
    </xf>
    <xf numFmtId="0" fontId="6" fillId="2" borderId="10" xfId="0" quotePrefix="1" applyFont="1" applyFill="1" applyBorder="1" applyAlignment="1" applyProtection="1">
      <alignment horizontal="center" vertical="center"/>
      <protection locked="0"/>
    </xf>
    <xf numFmtId="0" fontId="7" fillId="3" borderId="11" xfId="0" applyFont="1" applyFill="1" applyBorder="1"/>
    <xf numFmtId="0" fontId="9" fillId="3" borderId="13" xfId="0" applyFont="1" applyFill="1" applyBorder="1"/>
    <xf numFmtId="0" fontId="3" fillId="2" borderId="11" xfId="0" applyFont="1" applyFill="1" applyBorder="1" applyAlignment="1">
      <alignment vertical="center"/>
    </xf>
    <xf numFmtId="0" fontId="10" fillId="2" borderId="12" xfId="0" applyFont="1" applyFill="1" applyBorder="1" applyAlignment="1" applyProtection="1">
      <alignment horizontal="center" vertical="center"/>
      <protection locked="0"/>
    </xf>
    <xf numFmtId="0" fontId="5" fillId="2" borderId="14" xfId="0" applyFont="1" applyFill="1" applyBorder="1" applyAlignment="1">
      <alignment vertical="center"/>
    </xf>
    <xf numFmtId="0" fontId="7" fillId="3" borderId="9" xfId="0" applyFont="1" applyFill="1" applyBorder="1"/>
    <xf numFmtId="0" fontId="8" fillId="3" borderId="7" xfId="0" applyFont="1" applyFill="1" applyBorder="1" applyAlignment="1">
      <alignment horizontal="center"/>
    </xf>
    <xf numFmtId="0" fontId="9" fillId="3" borderId="8" xfId="0" applyFont="1" applyFill="1" applyBorder="1"/>
    <xf numFmtId="0" fontId="3" fillId="2" borderId="15" xfId="0" applyFont="1" applyFill="1" applyBorder="1" applyProtection="1">
      <protection locked="0"/>
    </xf>
    <xf numFmtId="0" fontId="3" fillId="2" borderId="15" xfId="0" applyFont="1" applyFill="1" applyBorder="1" applyAlignment="1">
      <alignment vertical="center"/>
    </xf>
    <xf numFmtId="0" fontId="10" fillId="2" borderId="16" xfId="0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11" fillId="4" borderId="18" xfId="0" applyFont="1" applyFill="1" applyBorder="1" applyAlignment="1">
      <alignment horizontal="centerContinuous"/>
    </xf>
    <xf numFmtId="0" fontId="11" fillId="4" borderId="19" xfId="0" applyFont="1" applyFill="1" applyBorder="1" applyAlignment="1">
      <alignment horizontal="centerContinuous"/>
    </xf>
    <xf numFmtId="0" fontId="11" fillId="4" borderId="20" xfId="0" applyFont="1" applyFill="1" applyBorder="1" applyAlignment="1">
      <alignment horizontal="centerContinuous"/>
    </xf>
    <xf numFmtId="0" fontId="5" fillId="5" borderId="21" xfId="0" applyFont="1" applyFill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13" fillId="5" borderId="11" xfId="0" applyFont="1" applyFill="1" applyBorder="1" applyAlignment="1">
      <alignment horizontal="center"/>
    </xf>
    <xf numFmtId="0" fontId="14" fillId="5" borderId="21" xfId="0" applyFont="1" applyFill="1" applyBorder="1" applyAlignment="1">
      <alignment horizontal="center" wrapText="1"/>
    </xf>
    <xf numFmtId="0" fontId="14" fillId="5" borderId="21" xfId="0" applyFont="1" applyFill="1" applyBorder="1" applyAlignment="1">
      <alignment horizontal="center"/>
    </xf>
    <xf numFmtId="0" fontId="14" fillId="5" borderId="18" xfId="0" applyFont="1" applyFill="1" applyBorder="1" applyAlignment="1">
      <alignment horizontal="center"/>
    </xf>
    <xf numFmtId="0" fontId="0" fillId="5" borderId="22" xfId="0" applyFill="1" applyBorder="1"/>
    <xf numFmtId="0" fontId="14" fillId="5" borderId="22" xfId="0" applyFont="1" applyFill="1" applyBorder="1" applyAlignment="1">
      <alignment horizontal="center"/>
    </xf>
    <xf numFmtId="1" fontId="0" fillId="0" borderId="21" xfId="0" applyNumberFormat="1" applyBorder="1"/>
    <xf numFmtId="165" fontId="0" fillId="0" borderId="21" xfId="0" applyNumberFormat="1" applyBorder="1"/>
    <xf numFmtId="0" fontId="0" fillId="0" borderId="21" xfId="0" applyBorder="1"/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</cellXfs>
  <cellStyles count="7">
    <cellStyle name="Comma [0] 2" xfId="2" xr:uid="{A0EA235D-EE4E-466B-BDE8-3386B758D3E1}"/>
    <cellStyle name="Formula" xfId="3" xr:uid="{9F5EF362-0717-4576-B440-1554BA46C1AA}"/>
    <cellStyle name="Hyperlink 2" xfId="4" xr:uid="{2B48A780-4967-4B2D-99E7-461B1BA05015}"/>
    <cellStyle name="Input 2" xfId="5" xr:uid="{A090150D-9D19-4E95-B313-360E2F654F71}"/>
    <cellStyle name="Normal" xfId="0" builtinId="0"/>
    <cellStyle name="Normal 2" xfId="1" xr:uid="{E23C46AC-2200-4E26-A1A7-05B9F0B0D236}"/>
    <cellStyle name="Percent 2" xfId="6" xr:uid="{FDF91975-50C8-4FE6-887E-9B8FC68433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com.sharepoint.com/sites/EC_OLN/Shared%20Documents/General/400_Technical/440_Ground%20Engineering/04_Bain%20Adit/03_SPREADSHEETS/Sections%20capacity/ShortCol_TypicalSection_10M-200.xlsb" TargetMode="External"/><Relationship Id="rId1" Type="http://schemas.openxmlformats.org/officeDocument/2006/relationships/externalLinkPath" Target="ShortCol_TypicalSection_10M-200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com.sharepoint.com/sites/EC_OLN/Shared%20Documents/General/400_Technical/440_Ground%20Engineering/04_Bain%20Adit/03_SPREADSHEETS/Sections%20capacity/ShortCol%20files/ShortCol_TypicalSection_10M-200.xlsb" TargetMode="External"/><Relationship Id="rId1" Type="http://schemas.openxmlformats.org/officeDocument/2006/relationships/externalLinkPath" Target="ShortCol%20files/ShortCol_TypicalSection_10M-200.xlsb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com.sharepoint.com/sites/EC_OLN/Shared%20Documents/General/400_Technical/440_Ground%20Engineering/04_Bain%20Adit/03_SPREADSHEETS/Sections%20capacity/ShortCol%20files/ShortCol_TypicalSection_15M-200.xlsb" TargetMode="External"/><Relationship Id="rId1" Type="http://schemas.openxmlformats.org/officeDocument/2006/relationships/externalLinkPath" Target="ShortCol%20files/ShortCol_TypicalSection_15M-200.xlsb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com.sharepoint.com/sites/EC_OLN/Shared%20Documents/General/400_Technical/440_Ground%20Engineering/04_Bain%20Adit/03_SPREADSHEETS/Sections%20capacity/ShortCol%20files/ShortCol_TypicalSection_T15M+B20M-200.xlsb" TargetMode="External"/><Relationship Id="rId1" Type="http://schemas.openxmlformats.org/officeDocument/2006/relationships/externalLinkPath" Target="ShortCol%20files/ShortCol_TypicalSection_T15M+B20M-200.xlsb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com.sharepoint.com/sites/EC_OLN/Shared%20Documents/General/400_Technical/440_Ground%20Engineering/04_Bain%20Adit/03_SPREADSHEETS/Sections%20capacity/ShortCol%20files/ShortCol_TypicalSection_25M-200.xlsb" TargetMode="External"/><Relationship Id="rId1" Type="http://schemas.openxmlformats.org/officeDocument/2006/relationships/externalLinkPath" Target="ShortCol%20files/ShortCol_TypicalSection_25M-200.xlsb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com.sharepoint.com/sites/EC_OLN/Shared%20Documents/General/400_Technical/440_Ground%20Engineering/04_Bain%20Adit/03_SPREADSHEETS/Sections%20capacity/ShortCol%20files/ShortCol_TypicalSection_20M-200.xlsb" TargetMode="External"/><Relationship Id="rId1" Type="http://schemas.openxmlformats.org/officeDocument/2006/relationships/externalLinkPath" Target="ShortCol%20files/ShortCol_TypicalSection_20M-20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AJ10" t="str">
            <v>SI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</sheetNames>
    <sheetDataSet>
      <sheetData sheetId="0">
        <row r="1">
          <cell r="A1"/>
          <cell r="E1" t="str">
            <v>OLN PTUS</v>
          </cell>
          <cell r="K1"/>
        </row>
        <row r="3">
          <cell r="E3" t="str">
            <v>Bain Adit - Final Lining</v>
          </cell>
          <cell r="K3"/>
        </row>
        <row r="4">
          <cell r="B4">
            <v>2021.04</v>
          </cell>
          <cell r="K4">
            <v>46154.395541666665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</sheetNames>
    <sheetDataSet>
      <sheetData sheetId="0">
        <row r="1">
          <cell r="A1"/>
          <cell r="E1" t="str">
            <v>OLN PTUS</v>
          </cell>
          <cell r="K1"/>
        </row>
        <row r="3">
          <cell r="E3" t="str">
            <v>Bain Adit - Final Lining</v>
          </cell>
          <cell r="K3"/>
        </row>
        <row r="4">
          <cell r="B4">
            <v>2021.04</v>
          </cell>
          <cell r="K4">
            <v>46154.460438657406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</sheetNames>
    <sheetDataSet>
      <sheetData sheetId="0">
        <row r="1">
          <cell r="A1"/>
          <cell r="E1" t="str">
            <v>OLN PTUS</v>
          </cell>
          <cell r="K1"/>
        </row>
        <row r="3">
          <cell r="E3" t="str">
            <v>Bain Adit - Final Lining</v>
          </cell>
          <cell r="K3"/>
        </row>
        <row r="4">
          <cell r="B4">
            <v>2021.04</v>
          </cell>
          <cell r="K4">
            <v>46154.380860763886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</sheetNames>
    <sheetDataSet>
      <sheetData sheetId="0">
        <row r="1">
          <cell r="A1"/>
          <cell r="E1" t="str">
            <v>OLN PTUS</v>
          </cell>
          <cell r="K1"/>
        </row>
        <row r="3">
          <cell r="E3" t="str">
            <v>Bain Adit - Final Lining</v>
          </cell>
          <cell r="K3"/>
        </row>
        <row r="4">
          <cell r="B4">
            <v>2021.04</v>
          </cell>
          <cell r="K4">
            <v>46154.43177476852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</sheetNames>
    <sheetDataSet>
      <sheetData sheetId="0">
        <row r="1">
          <cell r="E1" t="str">
            <v>OLN PTUS</v>
          </cell>
        </row>
        <row r="3">
          <cell r="E3" t="str">
            <v>Bain Adit - Final Lining</v>
          </cell>
        </row>
        <row r="4">
          <cell r="B4">
            <v>2021.04</v>
          </cell>
          <cell r="K4">
            <v>46155.397002430553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ABB6-B33D-46F0-82CC-663A307583BD}">
  <dimension ref="A1:K76"/>
  <sheetViews>
    <sheetView workbookViewId="0">
      <selection activeCell="M23" sqref="M23"/>
    </sheetView>
  </sheetViews>
  <sheetFormatPr defaultRowHeight="14.5" x14ac:dyDescent="0.35"/>
  <cols>
    <col min="1" max="2" width="7" customWidth="1"/>
    <col min="3" max="3" width="5.81640625" customWidth="1"/>
    <col min="4" max="4" width="7.453125" customWidth="1"/>
    <col min="5" max="9" width="7" customWidth="1"/>
    <col min="10" max="10" width="8.453125" customWidth="1"/>
    <col min="11" max="12" width="7" customWidth="1"/>
  </cols>
  <sheetData>
    <row r="1" spans="1:11" ht="14.5" customHeight="1" x14ac:dyDescent="0.35">
      <c r="A1" s="41" t="str">
        <f>IF([2]Input!A1="","",[2]Input!A1)</f>
        <v/>
      </c>
      <c r="B1" s="36"/>
      <c r="C1" s="42"/>
      <c r="D1" s="2" t="s">
        <v>0</v>
      </c>
      <c r="E1" s="35" t="str">
        <f>IF([2]Input!E1="","",[2]Input!E1)</f>
        <v>OLN PTUS</v>
      </c>
      <c r="F1" s="36"/>
      <c r="G1" s="36"/>
      <c r="H1" s="36"/>
      <c r="I1" s="2" t="s">
        <v>1</v>
      </c>
      <c r="J1" s="3" t="str">
        <f>IF([2]Input!K1="","",[2]Input!K1)</f>
        <v/>
      </c>
      <c r="K1" s="4"/>
    </row>
    <row r="2" spans="1:11" ht="14.5" customHeight="1" x14ac:dyDescent="0.35">
      <c r="A2" s="43"/>
      <c r="B2" s="37"/>
      <c r="C2" s="44"/>
      <c r="D2" s="5"/>
      <c r="E2" s="37"/>
      <c r="F2" s="37"/>
      <c r="G2" s="37"/>
      <c r="H2" s="37"/>
      <c r="I2" s="6" t="s">
        <v>2</v>
      </c>
      <c r="J2" s="7">
        <f ca="1">NOW()</f>
        <v>46155.397002314814</v>
      </c>
      <c r="K2" s="8"/>
    </row>
    <row r="3" spans="1:11" ht="14.5" customHeight="1" x14ac:dyDescent="0.35">
      <c r="A3" s="9"/>
      <c r="B3" s="1" t="s">
        <v>3</v>
      </c>
      <c r="C3" s="10"/>
      <c r="D3" s="11" t="s">
        <v>4</v>
      </c>
      <c r="E3" s="38" t="str">
        <f>IF([2]Input!E3="","",[2]Input!E3)</f>
        <v>Bain Adit - Final Lining</v>
      </c>
      <c r="F3" s="39"/>
      <c r="G3" s="39"/>
      <c r="H3" s="39"/>
      <c r="I3" s="11" t="s">
        <v>5</v>
      </c>
      <c r="J3" s="12" t="str">
        <f>IF([2]Input!K3="","",[2]Input!K3)</f>
        <v/>
      </c>
      <c r="K3" s="13"/>
    </row>
    <row r="4" spans="1:11" ht="15" customHeight="1" thickBot="1" x14ac:dyDescent="0.4">
      <c r="A4" s="14"/>
      <c r="B4" s="15">
        <f>[2]Input!B4</f>
        <v>2021.04</v>
      </c>
      <c r="C4" s="16"/>
      <c r="D4" s="17"/>
      <c r="E4" s="40"/>
      <c r="F4" s="40"/>
      <c r="G4" s="40"/>
      <c r="H4" s="40"/>
      <c r="I4" s="18" t="s">
        <v>2</v>
      </c>
      <c r="J4" s="19">
        <f>IF([2]Input!K4="","",[2]Input!K4)</f>
        <v>46154.395541666665</v>
      </c>
      <c r="K4" s="20"/>
    </row>
    <row r="6" spans="1:11" ht="19" x14ac:dyDescent="0.5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3"/>
    </row>
    <row r="8" spans="1:11" ht="68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1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1" x14ac:dyDescent="0.35">
      <c r="A10" s="32">
        <v>-400</v>
      </c>
      <c r="B10" s="32">
        <v>4.2499999996824958</v>
      </c>
      <c r="C10" s="33">
        <v>1</v>
      </c>
      <c r="D10" s="34">
        <v>1E-10</v>
      </c>
      <c r="E10" s="34">
        <v>84534427.671570435</v>
      </c>
      <c r="G10" s="32"/>
      <c r="H10" s="32"/>
      <c r="I10" s="33"/>
      <c r="J10" s="34"/>
      <c r="K10" s="34"/>
    </row>
    <row r="11" spans="1:11" x14ac:dyDescent="0.35">
      <c r="A11" s="32">
        <v>-168.80756359990937</v>
      </c>
      <c r="B11" s="32">
        <v>-24.901019191867135</v>
      </c>
      <c r="C11" s="33">
        <v>1</v>
      </c>
      <c r="D11" s="34">
        <v>10.691970849904028</v>
      </c>
      <c r="E11" s="34">
        <v>193193756.27131024</v>
      </c>
      <c r="G11" s="32"/>
      <c r="H11" s="32"/>
      <c r="I11" s="33"/>
      <c r="J11" s="34"/>
      <c r="K11" s="34"/>
    </row>
    <row r="12" spans="1:11" x14ac:dyDescent="0.35">
      <c r="A12" s="32">
        <v>2.3848727985800906</v>
      </c>
      <c r="B12" s="32">
        <v>-52.436724027186841</v>
      </c>
      <c r="C12" s="33">
        <v>1</v>
      </c>
      <c r="D12" s="34">
        <v>21.383941699708053</v>
      </c>
      <c r="E12" s="34">
        <v>219744288.72967878</v>
      </c>
      <c r="G12" s="32"/>
      <c r="H12" s="32"/>
      <c r="I12" s="33"/>
      <c r="J12" s="34"/>
      <c r="K12" s="34"/>
    </row>
    <row r="13" spans="1:11" x14ac:dyDescent="0.35">
      <c r="A13" s="32">
        <v>173.57730919706967</v>
      </c>
      <c r="B13" s="32">
        <v>-78.357114506239327</v>
      </c>
      <c r="C13" s="33">
        <v>1</v>
      </c>
      <c r="D13" s="34">
        <v>32.075912549512083</v>
      </c>
      <c r="E13" s="34">
        <v>233260734.87317473</v>
      </c>
      <c r="G13" s="32"/>
      <c r="H13" s="32"/>
      <c r="I13" s="33"/>
      <c r="J13" s="34"/>
      <c r="K13" s="34"/>
    </row>
    <row r="14" spans="1:11" x14ac:dyDescent="0.35">
      <c r="A14" s="32">
        <v>455.58419304890595</v>
      </c>
      <c r="B14" s="32">
        <v>-116.51399656069293</v>
      </c>
      <c r="C14" s="33">
        <v>1</v>
      </c>
      <c r="D14" s="34">
        <v>42.767883399316112</v>
      </c>
      <c r="E14" s="34">
        <v>243602217.71079525</v>
      </c>
      <c r="G14" s="32"/>
      <c r="H14" s="32"/>
      <c r="I14" s="33"/>
      <c r="J14" s="34"/>
      <c r="K14" s="34"/>
    </row>
    <row r="15" spans="1:11" x14ac:dyDescent="0.35">
      <c r="A15" s="32">
        <v>708.613739956573</v>
      </c>
      <c r="B15" s="32">
        <v>-149.43339714085815</v>
      </c>
      <c r="C15" s="33">
        <v>1</v>
      </c>
      <c r="D15" s="34">
        <v>53.459854249120141</v>
      </c>
      <c r="E15" s="34">
        <v>253536431.37005663</v>
      </c>
      <c r="G15" s="32"/>
      <c r="H15" s="32"/>
      <c r="I15" s="33"/>
      <c r="J15" s="34"/>
      <c r="K15" s="34"/>
    </row>
    <row r="16" spans="1:11" x14ac:dyDescent="0.35">
      <c r="A16" s="32">
        <v>925.29268752788983</v>
      </c>
      <c r="B16" s="32">
        <v>-176.19365844771238</v>
      </c>
      <c r="C16" s="33">
        <v>1</v>
      </c>
      <c r="D16" s="34">
        <v>64.151825098924164</v>
      </c>
      <c r="E16" s="34">
        <v>265671600.47916806</v>
      </c>
      <c r="G16" s="32"/>
      <c r="H16" s="32"/>
      <c r="I16" s="33"/>
      <c r="J16" s="34"/>
      <c r="K16" s="34"/>
    </row>
    <row r="17" spans="1:11" x14ac:dyDescent="0.35">
      <c r="A17" s="32">
        <v>1135.4551765498481</v>
      </c>
      <c r="B17" s="32">
        <v>-200.52404807962952</v>
      </c>
      <c r="C17" s="33">
        <v>1</v>
      </c>
      <c r="D17" s="34">
        <v>74.843795948728186</v>
      </c>
      <c r="E17" s="34">
        <v>280717183.4126761</v>
      </c>
      <c r="G17" s="32"/>
      <c r="H17" s="32"/>
      <c r="I17" s="33"/>
      <c r="J17" s="34"/>
      <c r="K17" s="34"/>
    </row>
    <row r="18" spans="1:11" x14ac:dyDescent="0.35">
      <c r="A18" s="32">
        <v>1335.8751524159513</v>
      </c>
      <c r="B18" s="32">
        <v>-222.02130921079757</v>
      </c>
      <c r="C18" s="33">
        <v>1</v>
      </c>
      <c r="D18" s="34">
        <v>85.535766798532208</v>
      </c>
      <c r="E18" s="34">
        <v>299548879.82398963</v>
      </c>
      <c r="G18" s="32"/>
      <c r="H18" s="32"/>
      <c r="I18" s="33"/>
      <c r="J18" s="34"/>
      <c r="K18" s="34"/>
    </row>
    <row r="19" spans="1:11" x14ac:dyDescent="0.35">
      <c r="A19" s="32">
        <v>1529.8001195114798</v>
      </c>
      <c r="B19" s="32">
        <v>-241.09137988937653</v>
      </c>
      <c r="C19" s="33">
        <v>1</v>
      </c>
      <c r="D19" s="34">
        <v>96.22773764833623</v>
      </c>
      <c r="E19" s="34">
        <v>322931903.7526474</v>
      </c>
      <c r="G19" s="32"/>
      <c r="H19" s="32"/>
      <c r="I19" s="33"/>
      <c r="J19" s="34"/>
      <c r="K19" s="34"/>
    </row>
    <row r="20" spans="1:11" x14ac:dyDescent="0.35">
      <c r="A20" s="32">
        <v>1702.8528014864955</v>
      </c>
      <c r="B20" s="32">
        <v>-255.93710057162426</v>
      </c>
      <c r="C20" s="33">
        <v>1</v>
      </c>
      <c r="D20" s="34">
        <v>106.91970849814025</v>
      </c>
      <c r="E20" s="34">
        <v>351573208.19111925</v>
      </c>
      <c r="G20" s="32"/>
      <c r="H20" s="32"/>
      <c r="I20" s="33"/>
      <c r="J20" s="34"/>
      <c r="K20" s="34"/>
    </row>
    <row r="21" spans="1:11" x14ac:dyDescent="0.35">
      <c r="A21" s="32">
        <v>1874.045237884985</v>
      </c>
      <c r="B21" s="32">
        <v>-268.93497620053893</v>
      </c>
      <c r="C21" s="33">
        <v>1</v>
      </c>
      <c r="D21" s="34">
        <v>117.61167934794427</v>
      </c>
      <c r="E21" s="34">
        <v>386146645.46419287</v>
      </c>
      <c r="G21" s="32"/>
      <c r="H21" s="32"/>
      <c r="I21" s="33"/>
      <c r="J21" s="34"/>
      <c r="K21" s="34"/>
    </row>
    <row r="22" spans="1:11" x14ac:dyDescent="0.35">
      <c r="A22" s="32">
        <v>2045.2376742834747</v>
      </c>
      <c r="B22" s="32">
        <v>-280.31753747318635</v>
      </c>
      <c r="C22" s="33">
        <v>1</v>
      </c>
      <c r="D22" s="34">
        <v>128.30365019774831</v>
      </c>
      <c r="E22" s="34">
        <v>427306125.4571991</v>
      </c>
      <c r="G22" s="32"/>
      <c r="H22" s="32"/>
      <c r="I22" s="33"/>
      <c r="J22" s="34"/>
      <c r="K22" s="34"/>
    </row>
    <row r="23" spans="1:11" x14ac:dyDescent="0.35">
      <c r="A23" s="32">
        <v>2216.4301106819644</v>
      </c>
      <c r="B23" s="32">
        <v>-290.08478438956649</v>
      </c>
      <c r="C23" s="33">
        <v>1</v>
      </c>
      <c r="D23" s="34">
        <v>138.99562104755233</v>
      </c>
      <c r="E23" s="34">
        <v>475692959.30986571</v>
      </c>
      <c r="G23" s="32"/>
      <c r="H23" s="32"/>
      <c r="I23" s="33"/>
      <c r="J23" s="34"/>
      <c r="K23" s="34"/>
    </row>
    <row r="24" spans="1:11" x14ac:dyDescent="0.35">
      <c r="A24" s="32">
        <v>2387.6225470804538</v>
      </c>
      <c r="B24" s="32">
        <v>-298.23671694967948</v>
      </c>
      <c r="C24" s="33">
        <v>1</v>
      </c>
      <c r="D24" s="34">
        <v>149.68759189735636</v>
      </c>
      <c r="E24" s="34">
        <v>531940180.58583248</v>
      </c>
      <c r="G24" s="32"/>
      <c r="H24" s="32"/>
      <c r="I24" s="33"/>
      <c r="J24" s="34"/>
      <c r="K24" s="34"/>
    </row>
    <row r="25" spans="1:11" x14ac:dyDescent="0.35">
      <c r="A25" s="32">
        <v>2558.8149834789433</v>
      </c>
      <c r="B25" s="32">
        <v>-304.77333515352518</v>
      </c>
      <c r="C25" s="33">
        <v>1</v>
      </c>
      <c r="D25" s="34">
        <v>160.37956274716038</v>
      </c>
      <c r="E25" s="34">
        <v>596675202.09979987</v>
      </c>
      <c r="G25" s="32"/>
      <c r="H25" s="32"/>
      <c r="I25" s="33"/>
      <c r="J25" s="34"/>
      <c r="K25" s="34"/>
    </row>
    <row r="26" spans="1:11" x14ac:dyDescent="0.35">
      <c r="A26" s="32">
        <v>2730.0074198774323</v>
      </c>
      <c r="B26" s="32">
        <v>-309.69463900110372</v>
      </c>
      <c r="C26" s="33">
        <v>1</v>
      </c>
      <c r="D26" s="34">
        <v>171.0715335969644</v>
      </c>
      <c r="E26" s="34">
        <v>670521511.16755986</v>
      </c>
      <c r="G26" s="32"/>
      <c r="H26" s="32"/>
      <c r="I26" s="33"/>
      <c r="J26" s="34"/>
      <c r="K26" s="34"/>
    </row>
    <row r="27" spans="1:11" x14ac:dyDescent="0.35">
      <c r="A27" s="32">
        <v>2901.1998562759218</v>
      </c>
      <c r="B27" s="32">
        <v>-313.00062849241499</v>
      </c>
      <c r="C27" s="33">
        <v>1</v>
      </c>
      <c r="D27" s="34">
        <v>181.76350444676842</v>
      </c>
      <c r="E27" s="34">
        <v>754099786.2044251</v>
      </c>
      <c r="G27" s="32"/>
      <c r="H27" s="32"/>
      <c r="I27" s="33"/>
      <c r="J27" s="34"/>
      <c r="K27" s="34"/>
    </row>
    <row r="28" spans="1:11" x14ac:dyDescent="0.35">
      <c r="A28" s="32">
        <v>3092.2766173387031</v>
      </c>
      <c r="B28" s="32">
        <v>-312.70287116102986</v>
      </c>
      <c r="C28" s="33">
        <v>1</v>
      </c>
      <c r="D28" s="34">
        <v>192.45547529657244</v>
      </c>
      <c r="E28" s="34">
        <v>848028652.70281553</v>
      </c>
      <c r="G28" s="32"/>
      <c r="H28" s="32"/>
      <c r="I28" s="33"/>
      <c r="J28" s="34"/>
      <c r="K28" s="34"/>
    </row>
    <row r="29" spans="1:11" x14ac:dyDescent="0.35">
      <c r="A29" s="32">
        <v>3289.7909313864275</v>
      </c>
      <c r="B29" s="32">
        <v>-310.14604417488329</v>
      </c>
      <c r="C29" s="33">
        <v>1</v>
      </c>
      <c r="D29" s="34">
        <v>203.14744614637647</v>
      </c>
      <c r="E29" s="34">
        <v>952925207.52731252</v>
      </c>
      <c r="G29" s="32"/>
      <c r="H29" s="32"/>
      <c r="I29" s="33"/>
      <c r="J29" s="34"/>
      <c r="K29" s="34"/>
    </row>
    <row r="30" spans="1:11" x14ac:dyDescent="0.35">
      <c r="A30" s="32">
        <v>3484.6730576692298</v>
      </c>
      <c r="B30" s="32">
        <v>-306.23712160896162</v>
      </c>
      <c r="C30" s="33">
        <v>1</v>
      </c>
      <c r="D30" s="34">
        <v>213.83941699618049</v>
      </c>
      <c r="E30" s="34">
        <v>1069405390.3386732</v>
      </c>
      <c r="G30" s="32"/>
      <c r="H30" s="32"/>
      <c r="I30" s="33"/>
      <c r="J30" s="34"/>
      <c r="K30" s="34"/>
    </row>
    <row r="31" spans="1:11" x14ac:dyDescent="0.35">
      <c r="A31" s="32">
        <v>3677.2990230106693</v>
      </c>
      <c r="B31" s="32">
        <v>-300.93850078090884</v>
      </c>
      <c r="C31" s="33">
        <v>1</v>
      </c>
      <c r="D31" s="34">
        <v>224.53138784598451</v>
      </c>
      <c r="E31" s="34">
        <v>1198084251.7390037</v>
      </c>
      <c r="G31" s="32"/>
      <c r="H31" s="32"/>
      <c r="I31" s="33"/>
      <c r="J31" s="34"/>
      <c r="K31" s="34"/>
    </row>
    <row r="32" spans="1:11" x14ac:dyDescent="0.35">
      <c r="A32" s="32">
        <v>3867.9764857209329</v>
      </c>
      <c r="B32" s="32">
        <v>-294.21941585970666</v>
      </c>
      <c r="C32" s="33">
        <v>1</v>
      </c>
      <c r="D32" s="34">
        <v>235.22335869578853</v>
      </c>
      <c r="E32" s="34">
        <v>1339576150.1583798</v>
      </c>
      <c r="G32" s="32"/>
      <c r="H32" s="32"/>
      <c r="I32" s="33"/>
      <c r="J32" s="34"/>
      <c r="K32" s="34"/>
    </row>
    <row r="33" spans="1:11" x14ac:dyDescent="0.35">
      <c r="A33" s="32">
        <v>4056.9595983171293</v>
      </c>
      <c r="B33" s="32">
        <v>-286.05445159364382</v>
      </c>
      <c r="C33" s="33">
        <v>1</v>
      </c>
      <c r="D33" s="34">
        <v>245.91532954559256</v>
      </c>
      <c r="E33" s="34">
        <v>1494494898.6386974</v>
      </c>
      <c r="G33" s="32"/>
      <c r="H33" s="32"/>
      <c r="I33" s="33"/>
      <c r="J33" s="34"/>
      <c r="K33" s="34"/>
    </row>
    <row r="34" spans="1:11" x14ac:dyDescent="0.35">
      <c r="A34" s="32">
        <v>4244.4601545635178</v>
      </c>
      <c r="B34" s="32">
        <v>-276.4224286062946</v>
      </c>
      <c r="C34" s="33">
        <v>1</v>
      </c>
      <c r="D34" s="34">
        <v>256.60730039539658</v>
      </c>
      <c r="E34" s="34">
        <v>1663453875.7844491</v>
      </c>
      <c r="G34" s="32"/>
      <c r="H34" s="32"/>
      <c r="I34" s="33"/>
      <c r="J34" s="34"/>
      <c r="K34" s="34"/>
    </row>
    <row r="35" spans="1:11" x14ac:dyDescent="0.35">
      <c r="A35" s="32">
        <v>4430.6560612220746</v>
      </c>
      <c r="B35" s="32">
        <v>-265.3055562214613</v>
      </c>
      <c r="C35" s="33">
        <v>1</v>
      </c>
      <c r="D35" s="34">
        <v>267.2992712452006</v>
      </c>
      <c r="E35" s="34">
        <v>1847066110.6869755</v>
      </c>
      <c r="G35" s="32"/>
      <c r="H35" s="32"/>
      <c r="I35" s="33"/>
      <c r="J35" s="34"/>
      <c r="K35" s="34"/>
    </row>
    <row r="36" spans="1:11" x14ac:dyDescent="0.35">
      <c r="A36" s="32">
        <v>4615.6978547837043</v>
      </c>
      <c r="B36" s="32">
        <v>-252.68878079005353</v>
      </c>
      <c r="C36" s="33">
        <v>1</v>
      </c>
      <c r="D36" s="34">
        <v>277.99124209500462</v>
      </c>
      <c r="E36" s="34">
        <v>2009086328.021862</v>
      </c>
      <c r="G36" s="32"/>
      <c r="H36" s="32"/>
      <c r="I36" s="33"/>
      <c r="J36" s="34"/>
      <c r="K36" s="34"/>
    </row>
    <row r="37" spans="1:11" x14ac:dyDescent="0.35">
      <c r="A37" s="32">
        <v>4799.7137700369531</v>
      </c>
      <c r="B37" s="32">
        <v>-238.55927883321664</v>
      </c>
      <c r="C37" s="33">
        <v>1</v>
      </c>
      <c r="D37" s="34">
        <v>288.68321294480864</v>
      </c>
      <c r="E37" s="34">
        <v>2223808661.7745781</v>
      </c>
      <c r="G37" s="32"/>
      <c r="H37" s="32"/>
      <c r="I37" s="33"/>
      <c r="J37" s="34"/>
      <c r="K37" s="34"/>
    </row>
    <row r="38" spans="1:11" x14ac:dyDescent="0.35">
      <c r="A38" s="32">
        <v>4982.8137225148621</v>
      </c>
      <c r="B38" s="32">
        <v>-222.90605879764641</v>
      </c>
      <c r="C38" s="33">
        <v>1</v>
      </c>
      <c r="D38" s="34">
        <v>299.37518379461267</v>
      </c>
      <c r="E38" s="34">
        <v>2455024229.3468041</v>
      </c>
      <c r="G38" s="32"/>
      <c r="H38" s="32"/>
      <c r="I38" s="33"/>
      <c r="J38" s="34"/>
      <c r="K38" s="34"/>
    </row>
    <row r="39" spans="1:11" x14ac:dyDescent="0.35">
      <c r="A39" s="32">
        <v>5165.0924669872938</v>
      </c>
      <c r="B39" s="32">
        <v>-205.71964520635666</v>
      </c>
      <c r="C39" s="33">
        <v>1</v>
      </c>
      <c r="D39" s="34">
        <v>310.06715464441669</v>
      </c>
      <c r="E39" s="34">
        <v>2703344950.9919195</v>
      </c>
      <c r="G39" s="32"/>
      <c r="H39" s="32"/>
      <c r="I39" s="33"/>
      <c r="J39" s="34"/>
      <c r="K39" s="34"/>
    </row>
    <row r="40" spans="1:11" x14ac:dyDescent="0.35">
      <c r="A40" s="32">
        <v>5337.5604999999996</v>
      </c>
      <c r="B40" s="32">
        <v>-187.89898222947488</v>
      </c>
      <c r="C40" s="33">
        <v>1</v>
      </c>
      <c r="D40" s="34">
        <v>320.75912549412084</v>
      </c>
      <c r="E40" s="34">
        <v>2969382645.2148747</v>
      </c>
      <c r="G40" s="32"/>
      <c r="H40" s="32"/>
      <c r="I40" s="33"/>
      <c r="J40" s="34"/>
      <c r="K40" s="34"/>
    </row>
    <row r="41" spans="1:11" x14ac:dyDescent="0.35">
      <c r="A41" s="32">
        <v>5337.5604999999996</v>
      </c>
      <c r="B41" s="32">
        <v>0</v>
      </c>
      <c r="C41" s="33">
        <v>1</v>
      </c>
      <c r="D41" s="34"/>
      <c r="E41" s="34"/>
      <c r="G41" s="32"/>
      <c r="H41" s="32"/>
      <c r="I41" s="33"/>
      <c r="J41" s="34"/>
      <c r="K41" s="34"/>
    </row>
    <row r="42" spans="1:11" x14ac:dyDescent="0.35">
      <c r="A42" s="32"/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 s="32">
        <v>-400</v>
      </c>
      <c r="B43" s="32">
        <v>4.2500000003175042</v>
      </c>
      <c r="C43" s="33">
        <v>1</v>
      </c>
      <c r="D43" s="34">
        <v>1E-10</v>
      </c>
      <c r="E43" s="34">
        <v>84534427.672561929</v>
      </c>
      <c r="G43" s="32"/>
      <c r="H43" s="32"/>
      <c r="I43" s="33"/>
      <c r="J43" s="34"/>
      <c r="K43" s="34"/>
    </row>
    <row r="44" spans="1:11" x14ac:dyDescent="0.35">
      <c r="A44" s="32">
        <v>-168.23690234525503</v>
      </c>
      <c r="B44" s="32">
        <v>33.495491368826542</v>
      </c>
      <c r="C44" s="33">
        <v>1</v>
      </c>
      <c r="D44" s="34">
        <v>10.727611989362281</v>
      </c>
      <c r="E44" s="34">
        <v>229351469.5167461</v>
      </c>
      <c r="G44" s="32"/>
      <c r="H44" s="32"/>
      <c r="I44" s="33"/>
      <c r="J44" s="34"/>
      <c r="K44" s="34"/>
    </row>
    <row r="45" spans="1:11" x14ac:dyDescent="0.35">
      <c r="A45" s="32">
        <v>3.52619530788877</v>
      </c>
      <c r="B45" s="32">
        <v>61.114881295895565</v>
      </c>
      <c r="C45" s="33">
        <v>1</v>
      </c>
      <c r="D45" s="34">
        <v>21.455223978624559</v>
      </c>
      <c r="E45" s="34">
        <v>264427466.7981742</v>
      </c>
      <c r="G45" s="32"/>
      <c r="H45" s="32"/>
      <c r="I45" s="33"/>
      <c r="J45" s="34"/>
      <c r="K45" s="34"/>
    </row>
    <row r="46" spans="1:11" x14ac:dyDescent="0.35">
      <c r="A46" s="32">
        <v>175.28929296103252</v>
      </c>
      <c r="B46" s="32">
        <v>87.10816978148722</v>
      </c>
      <c r="C46" s="33">
        <v>1</v>
      </c>
      <c r="D46" s="34">
        <v>32.182835967886838</v>
      </c>
      <c r="E46" s="34">
        <v>281770633.2780214</v>
      </c>
      <c r="G46" s="32"/>
      <c r="H46" s="32"/>
      <c r="I46" s="33"/>
      <c r="J46" s="34"/>
      <c r="K46" s="34"/>
    </row>
    <row r="47" spans="1:11" x14ac:dyDescent="0.35">
      <c r="A47" s="32">
        <v>347.05239061417637</v>
      </c>
      <c r="B47" s="32">
        <v>111.47535682560159</v>
      </c>
      <c r="C47" s="33">
        <v>1</v>
      </c>
      <c r="D47" s="34">
        <v>42.910447957149117</v>
      </c>
      <c r="E47" s="34">
        <v>294307736.53075176</v>
      </c>
      <c r="G47" s="32"/>
      <c r="H47" s="32"/>
      <c r="I47" s="33"/>
      <c r="J47" s="34"/>
      <c r="K47" s="34"/>
    </row>
    <row r="48" spans="1:11" x14ac:dyDescent="0.35">
      <c r="A48" s="32">
        <v>549.42418615412305</v>
      </c>
      <c r="B48" s="32">
        <v>137.27731221691889</v>
      </c>
      <c r="C48" s="33">
        <v>1</v>
      </c>
      <c r="D48" s="34">
        <v>53.638059946411396</v>
      </c>
      <c r="E48" s="34">
        <v>306208427.91118133</v>
      </c>
      <c r="G48" s="32"/>
      <c r="H48" s="32"/>
      <c r="I48" s="33"/>
      <c r="J48" s="34"/>
      <c r="K48" s="34"/>
    </row>
    <row r="49" spans="1:11" x14ac:dyDescent="0.35">
      <c r="A49" s="32">
        <v>802.75250082600644</v>
      </c>
      <c r="B49" s="32">
        <v>166.54881807995253</v>
      </c>
      <c r="C49" s="33">
        <v>1</v>
      </c>
      <c r="D49" s="34">
        <v>64.365671935673674</v>
      </c>
      <c r="E49" s="34">
        <v>319496758.52517915</v>
      </c>
      <c r="G49" s="32"/>
      <c r="H49" s="32"/>
      <c r="I49" s="33"/>
      <c r="J49" s="34"/>
      <c r="K49" s="34"/>
    </row>
    <row r="50" spans="1:11" x14ac:dyDescent="0.35">
      <c r="A50" s="32">
        <v>1032.7764677782807</v>
      </c>
      <c r="B50" s="32">
        <v>191.86378772954794</v>
      </c>
      <c r="C50" s="33">
        <v>1</v>
      </c>
      <c r="D50" s="34">
        <v>75.09328392493596</v>
      </c>
      <c r="E50" s="34">
        <v>333666500.1932053</v>
      </c>
      <c r="G50" s="32"/>
      <c r="H50" s="32"/>
      <c r="I50" s="33"/>
      <c r="J50" s="34"/>
      <c r="K50" s="34"/>
    </row>
    <row r="51" spans="1:11" x14ac:dyDescent="0.35">
      <c r="A51" s="32">
        <v>1239.1636549057898</v>
      </c>
      <c r="B51" s="32">
        <v>213.18897795518947</v>
      </c>
      <c r="C51" s="33">
        <v>1</v>
      </c>
      <c r="D51" s="34">
        <v>85.820895914198246</v>
      </c>
      <c r="E51" s="34">
        <v>353170592.98838782</v>
      </c>
      <c r="G51" s="32"/>
      <c r="H51" s="32"/>
      <c r="I51" s="33"/>
      <c r="J51" s="34"/>
      <c r="K51" s="34"/>
    </row>
    <row r="52" spans="1:11" x14ac:dyDescent="0.35">
      <c r="A52" s="32">
        <v>1444.9122596501165</v>
      </c>
      <c r="B52" s="32">
        <v>232.8242085010354</v>
      </c>
      <c r="C52" s="33">
        <v>1</v>
      </c>
      <c r="D52" s="34">
        <v>96.548507903460532</v>
      </c>
      <c r="E52" s="34">
        <v>377170641.7714144</v>
      </c>
      <c r="G52" s="32"/>
      <c r="H52" s="32"/>
      <c r="I52" s="33"/>
      <c r="J52" s="34"/>
      <c r="K52" s="34"/>
    </row>
    <row r="53" spans="1:11" x14ac:dyDescent="0.35">
      <c r="A53" s="32">
        <v>1643.8637629762129</v>
      </c>
      <c r="B53" s="32">
        <v>250.15362746358105</v>
      </c>
      <c r="C53" s="33">
        <v>1</v>
      </c>
      <c r="D53" s="34">
        <v>107.27611989272282</v>
      </c>
      <c r="E53" s="34">
        <v>406409371.06173122</v>
      </c>
      <c r="G53" s="32"/>
      <c r="H53" s="32"/>
      <c r="I53" s="33"/>
      <c r="J53" s="34"/>
      <c r="K53" s="34"/>
    </row>
    <row r="54" spans="1:11" x14ac:dyDescent="0.35">
      <c r="A54" s="32">
        <v>1837.8719198163224</v>
      </c>
      <c r="B54" s="32">
        <v>265.36261033605064</v>
      </c>
      <c r="C54" s="33">
        <v>1</v>
      </c>
      <c r="D54" s="34">
        <v>118.0037318819851</v>
      </c>
      <c r="E54" s="34">
        <v>441586157.53271103</v>
      </c>
      <c r="G54" s="32"/>
      <c r="H54" s="32"/>
      <c r="I54" s="33"/>
      <c r="J54" s="34"/>
      <c r="K54" s="34"/>
    </row>
    <row r="55" spans="1:11" x14ac:dyDescent="0.35">
      <c r="A55" s="32">
        <v>2028.1725667919402</v>
      </c>
      <c r="B55" s="32">
        <v>278.57474078059374</v>
      </c>
      <c r="C55" s="33">
        <v>1</v>
      </c>
      <c r="D55" s="34">
        <v>128.73134387124739</v>
      </c>
      <c r="E55" s="34">
        <v>483374264.34491181</v>
      </c>
      <c r="G55" s="32"/>
      <c r="H55" s="32"/>
      <c r="I55" s="33"/>
      <c r="J55" s="34"/>
      <c r="K55" s="34"/>
    </row>
    <row r="56" spans="1:11" x14ac:dyDescent="0.35">
      <c r="A56" s="32">
        <v>2215.6212831025641</v>
      </c>
      <c r="B56" s="32">
        <v>289.87557671716007</v>
      </c>
      <c r="C56" s="33">
        <v>1</v>
      </c>
      <c r="D56" s="34">
        <v>139.45895586050966</v>
      </c>
      <c r="E56" s="34">
        <v>532430458.66387284</v>
      </c>
      <c r="G56" s="32"/>
      <c r="H56" s="32"/>
      <c r="I56" s="33"/>
      <c r="J56" s="34"/>
      <c r="K56" s="34"/>
    </row>
    <row r="57" spans="1:11" x14ac:dyDescent="0.35">
      <c r="A57" s="32">
        <v>2395.6118046456154</v>
      </c>
      <c r="B57" s="32">
        <v>298.80449173549181</v>
      </c>
      <c r="C57" s="33">
        <v>1</v>
      </c>
      <c r="D57" s="34">
        <v>150.18656784977193</v>
      </c>
      <c r="E57" s="34">
        <v>589400670.26956058</v>
      </c>
      <c r="G57" s="32"/>
      <c r="H57" s="32"/>
      <c r="I57" s="33"/>
      <c r="J57" s="34"/>
      <c r="K57" s="34"/>
    </row>
    <row r="58" spans="1:11" x14ac:dyDescent="0.35">
      <c r="A58" s="32">
        <v>2567.3749022987581</v>
      </c>
      <c r="B58" s="32">
        <v>305.28456292335545</v>
      </c>
      <c r="C58" s="33">
        <v>1</v>
      </c>
      <c r="D58" s="34">
        <v>160.9141798390342</v>
      </c>
      <c r="E58" s="34">
        <v>654923470.42618823</v>
      </c>
      <c r="G58" s="32"/>
      <c r="H58" s="32"/>
      <c r="I58" s="33"/>
      <c r="J58" s="34"/>
      <c r="K58" s="34"/>
    </row>
    <row r="59" spans="1:11" x14ac:dyDescent="0.35">
      <c r="A59" s="32">
        <v>2739.1379999519022</v>
      </c>
      <c r="B59" s="32">
        <v>310.13853266974183</v>
      </c>
      <c r="C59" s="33">
        <v>1</v>
      </c>
      <c r="D59" s="34">
        <v>171.64179182829648</v>
      </c>
      <c r="E59" s="34">
        <v>729632291.50974369</v>
      </c>
      <c r="G59" s="32"/>
      <c r="H59" s="32"/>
      <c r="I59" s="33"/>
      <c r="J59" s="34"/>
      <c r="K59" s="34"/>
    </row>
    <row r="60" spans="1:11" x14ac:dyDescent="0.35">
      <c r="A60" s="32">
        <v>2910.9010976050458</v>
      </c>
      <c r="B60" s="32">
        <v>313.36640097465084</v>
      </c>
      <c r="C60" s="33">
        <v>1</v>
      </c>
      <c r="D60" s="34">
        <v>182.36940381755875</v>
      </c>
      <c r="E60" s="34">
        <v>814156888.91169143</v>
      </c>
      <c r="G60" s="32"/>
      <c r="H60" s="32"/>
      <c r="I60" s="33"/>
      <c r="J60" s="34"/>
      <c r="K60" s="34"/>
    </row>
    <row r="61" spans="1:11" x14ac:dyDescent="0.35">
      <c r="A61" s="32">
        <v>3082.6641952581899</v>
      </c>
      <c r="B61" s="32">
        <v>314.96816783808259</v>
      </c>
      <c r="C61" s="33">
        <v>1</v>
      </c>
      <c r="D61" s="34">
        <v>193.09701580682102</v>
      </c>
      <c r="E61" s="34">
        <v>909124330.75193286</v>
      </c>
      <c r="G61" s="32"/>
      <c r="H61" s="32"/>
      <c r="I61" s="33"/>
      <c r="J61" s="34"/>
      <c r="K61" s="34"/>
    </row>
    <row r="62" spans="1:11" x14ac:dyDescent="0.35">
      <c r="A62" s="32">
        <v>3259.2785538441012</v>
      </c>
      <c r="B62" s="32">
        <v>314.33742564344084</v>
      </c>
      <c r="C62" s="33">
        <v>1</v>
      </c>
      <c r="D62" s="34">
        <v>203.82462779608329</v>
      </c>
      <c r="E62" s="34">
        <v>1015159684.2471979</v>
      </c>
      <c r="G62" s="32"/>
      <c r="H62" s="32"/>
      <c r="I62" s="33"/>
      <c r="J62" s="34"/>
      <c r="K62" s="34"/>
    </row>
    <row r="63" spans="1:11" x14ac:dyDescent="0.35">
      <c r="A63" s="32">
        <v>3456.7990884505948</v>
      </c>
      <c r="B63" s="32">
        <v>309.46731000474921</v>
      </c>
      <c r="C63" s="33">
        <v>1</v>
      </c>
      <c r="D63" s="34">
        <v>214.55223978534556</v>
      </c>
      <c r="E63" s="34">
        <v>1132886501.93328</v>
      </c>
      <c r="G63" s="32"/>
      <c r="H63" s="32"/>
      <c r="I63" s="33"/>
      <c r="J63" s="34"/>
      <c r="K63" s="34"/>
    </row>
    <row r="64" spans="1:11" x14ac:dyDescent="0.35">
      <c r="A64" s="32">
        <v>3651.8665338234368</v>
      </c>
      <c r="B64" s="32">
        <v>303.27772907878659</v>
      </c>
      <c r="C64" s="33">
        <v>1</v>
      </c>
      <c r="D64" s="34">
        <v>225.27985177460783</v>
      </c>
      <c r="E64" s="34">
        <v>1262927172.6753912</v>
      </c>
      <c r="G64" s="32"/>
      <c r="H64" s="32"/>
      <c r="I64" s="33"/>
      <c r="J64" s="34"/>
      <c r="K64" s="34"/>
    </row>
    <row r="65" spans="1:11" x14ac:dyDescent="0.35">
      <c r="A65" s="32">
        <v>3844.8154021308533</v>
      </c>
      <c r="B65" s="32">
        <v>295.72686884452503</v>
      </c>
      <c r="C65" s="33">
        <v>1</v>
      </c>
      <c r="D65" s="34">
        <v>236.00746376387011</v>
      </c>
      <c r="E65" s="34">
        <v>1405903179.3909268</v>
      </c>
      <c r="G65" s="32"/>
      <c r="H65" s="32"/>
      <c r="I65" s="33"/>
      <c r="J65" s="34"/>
      <c r="K65" s="34"/>
    </row>
    <row r="66" spans="1:11" x14ac:dyDescent="0.35">
      <c r="A66" s="32">
        <v>4035.9220295118107</v>
      </c>
      <c r="B66" s="32">
        <v>286.7801872845933</v>
      </c>
      <c r="C66" s="33">
        <v>1</v>
      </c>
      <c r="D66" s="34">
        <v>246.73507575313238</v>
      </c>
      <c r="E66" s="34">
        <v>1562435291.1828284</v>
      </c>
      <c r="G66" s="32"/>
      <c r="H66" s="32"/>
      <c r="I66" s="33"/>
      <c r="J66" s="34"/>
      <c r="K66" s="34"/>
    </row>
    <row r="67" spans="1:11" x14ac:dyDescent="0.35">
      <c r="A67" s="32">
        <v>4225.4166960821194</v>
      </c>
      <c r="B67" s="32">
        <v>276.40889938451556</v>
      </c>
      <c r="C67" s="33">
        <v>1</v>
      </c>
      <c r="D67" s="34">
        <v>257.46268774239468</v>
      </c>
      <c r="E67" s="34">
        <v>1733143708.565424</v>
      </c>
      <c r="G67" s="32"/>
      <c r="H67" s="32"/>
      <c r="I67" s="33"/>
      <c r="J67" s="34"/>
      <c r="K67" s="34"/>
    </row>
    <row r="68" spans="1:11" x14ac:dyDescent="0.35">
      <c r="A68" s="32">
        <v>4413.4928371390542</v>
      </c>
      <c r="B68" s="32">
        <v>264.58882573213191</v>
      </c>
      <c r="C68" s="33">
        <v>1</v>
      </c>
      <c r="D68" s="34">
        <v>268.19029973165698</v>
      </c>
      <c r="E68" s="34">
        <v>1918648174.6210313</v>
      </c>
      <c r="G68" s="32"/>
      <c r="H68" s="32"/>
      <c r="I68" s="33"/>
      <c r="J68" s="34"/>
      <c r="K68" s="34"/>
    </row>
    <row r="69" spans="1:11" x14ac:dyDescent="0.35">
      <c r="A69" s="32">
        <v>4600.3141287033914</v>
      </c>
      <c r="B69" s="32">
        <v>251.29950682484599</v>
      </c>
      <c r="C69" s="33">
        <v>1</v>
      </c>
      <c r="D69" s="34">
        <v>278.91791172091928</v>
      </c>
      <c r="E69" s="34">
        <v>2119568061.0610223</v>
      </c>
      <c r="G69" s="32"/>
      <c r="H69" s="32"/>
      <c r="I69" s="33"/>
      <c r="J69" s="34"/>
      <c r="K69" s="34"/>
    </row>
    <row r="70" spans="1:11" x14ac:dyDescent="0.35">
      <c r="A70" s="32">
        <v>4786.0199984965284</v>
      </c>
      <c r="B70" s="32">
        <v>236.52351419748246</v>
      </c>
      <c r="C70" s="33">
        <v>1</v>
      </c>
      <c r="D70" s="34">
        <v>289.64552371018158</v>
      </c>
      <c r="E70" s="34">
        <v>2336522435.5616841</v>
      </c>
      <c r="G70" s="32"/>
      <c r="H70" s="32"/>
      <c r="I70" s="33"/>
      <c r="J70" s="34"/>
      <c r="K70" s="34"/>
    </row>
    <row r="71" spans="1:11" x14ac:dyDescent="0.35">
      <c r="A71" s="32">
        <v>4970.729955993952</v>
      </c>
      <c r="B71" s="32">
        <v>220.24590916560584</v>
      </c>
      <c r="C71" s="33">
        <v>1</v>
      </c>
      <c r="D71" s="34">
        <v>300.37313569944388</v>
      </c>
      <c r="E71" s="34">
        <v>2526239715.1176648</v>
      </c>
      <c r="G71" s="32"/>
      <c r="H71" s="32"/>
      <c r="I71" s="33"/>
      <c r="J71" s="34"/>
      <c r="K71" s="34"/>
    </row>
    <row r="72" spans="1:11" x14ac:dyDescent="0.35">
      <c r="A72" s="32">
        <v>5154.5470266055654</v>
      </c>
      <c r="B72" s="32">
        <v>202.45381355297832</v>
      </c>
      <c r="C72" s="33">
        <v>1</v>
      </c>
      <c r="D72" s="34">
        <v>311.10074768870618</v>
      </c>
      <c r="E72" s="34">
        <v>2777081993.7285051</v>
      </c>
      <c r="G72" s="32"/>
      <c r="H72" s="32"/>
      <c r="I72" s="33"/>
      <c r="J72" s="34"/>
      <c r="K72" s="34"/>
    </row>
    <row r="73" spans="1:11" x14ac:dyDescent="0.35">
      <c r="A73" s="32">
        <v>5337.5604999999996</v>
      </c>
      <c r="B73" s="32">
        <v>183.1360662737147</v>
      </c>
      <c r="C73" s="33">
        <v>1</v>
      </c>
      <c r="D73" s="34">
        <v>321.82835967786843</v>
      </c>
      <c r="E73" s="34">
        <v>3045817047.9157515</v>
      </c>
      <c r="G73" s="32"/>
      <c r="H73" s="32"/>
      <c r="I73" s="33"/>
      <c r="J73" s="34"/>
      <c r="K73" s="34"/>
    </row>
    <row r="74" spans="1:11" x14ac:dyDescent="0.35">
      <c r="A74" s="32">
        <v>5337.5604999999996</v>
      </c>
      <c r="B74" s="32">
        <v>0</v>
      </c>
      <c r="C74" s="33">
        <v>1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E1:H2"/>
    <mergeCell ref="E3:H4"/>
    <mergeCell ref="A1:C2"/>
  </mergeCells>
  <hyperlinks>
    <hyperlink ref="B3" r:id="rId1" display="WeldGroup" xr:uid="{033B505D-55AF-49A8-B2B7-5E76433836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3277-EF50-4BA1-996D-543EE0F19296}">
  <dimension ref="A1:L76"/>
  <sheetViews>
    <sheetView workbookViewId="0">
      <selection sqref="A1:K1048576"/>
    </sheetView>
  </sheetViews>
  <sheetFormatPr defaultRowHeight="14.5" x14ac:dyDescent="0.35"/>
  <cols>
    <col min="1" max="2" width="7" customWidth="1"/>
    <col min="3" max="3" width="5.81640625" customWidth="1"/>
    <col min="4" max="4" width="7.453125" customWidth="1"/>
    <col min="5" max="9" width="7" customWidth="1"/>
    <col min="10" max="10" width="8.453125" customWidth="1"/>
    <col min="11" max="12" width="7" customWidth="1"/>
  </cols>
  <sheetData>
    <row r="1" spans="1:12" ht="14.5" customHeight="1" x14ac:dyDescent="0.35">
      <c r="A1" s="41" t="str">
        <f>IF([3]Input!A1="","",[3]Input!A1)</f>
        <v/>
      </c>
      <c r="B1" s="36"/>
      <c r="C1" s="42"/>
      <c r="D1" s="2" t="s">
        <v>0</v>
      </c>
      <c r="E1" s="35" t="str">
        <f>IF([3]Input!E1="","",[3]Input!E1)</f>
        <v>OLN PTUS</v>
      </c>
      <c r="F1" s="36"/>
      <c r="G1" s="36"/>
      <c r="H1" s="36"/>
      <c r="I1" s="2" t="s">
        <v>1</v>
      </c>
      <c r="J1" s="3" t="str">
        <f>IF([3]Input!K1="","",[3]Input!K1)</f>
        <v/>
      </c>
      <c r="K1" s="4"/>
    </row>
    <row r="2" spans="1:12" ht="14.5" customHeight="1" x14ac:dyDescent="0.35">
      <c r="A2" s="43"/>
      <c r="B2" s="37"/>
      <c r="C2" s="44"/>
      <c r="D2" s="5"/>
      <c r="E2" s="37"/>
      <c r="F2" s="37"/>
      <c r="G2" s="37"/>
      <c r="H2" s="37"/>
      <c r="I2" s="6" t="s">
        <v>2</v>
      </c>
      <c r="J2" s="7">
        <f ca="1">NOW()</f>
        <v>46155.397002314814</v>
      </c>
      <c r="K2" s="8"/>
    </row>
    <row r="3" spans="1:12" ht="14.5" customHeight="1" x14ac:dyDescent="0.35">
      <c r="A3" s="9"/>
      <c r="B3" s="1" t="s">
        <v>3</v>
      </c>
      <c r="C3" s="10"/>
      <c r="D3" s="11" t="s">
        <v>4</v>
      </c>
      <c r="E3" s="38" t="str">
        <f>IF([3]Input!E3="","",[3]Input!E3)</f>
        <v>Bain Adit - Final Lining</v>
      </c>
      <c r="F3" s="39"/>
      <c r="G3" s="39"/>
      <c r="H3" s="39"/>
      <c r="I3" s="11" t="s">
        <v>5</v>
      </c>
      <c r="J3" s="12" t="str">
        <f>IF([3]Input!K3="","",[3]Input!K3)</f>
        <v/>
      </c>
      <c r="K3" s="13"/>
    </row>
    <row r="4" spans="1:12" ht="15" customHeight="1" thickBot="1" x14ac:dyDescent="0.4">
      <c r="A4" s="14"/>
      <c r="B4" s="15">
        <f>[3]Input!B4</f>
        <v>2021.04</v>
      </c>
      <c r="C4" s="16"/>
      <c r="D4" s="17"/>
      <c r="E4" s="40"/>
      <c r="F4" s="40"/>
      <c r="G4" s="40"/>
      <c r="H4" s="40"/>
      <c r="I4" s="18" t="s">
        <v>2</v>
      </c>
      <c r="J4" s="19">
        <f>IF([3]Input!K4="","",[3]Input!K4)</f>
        <v>46154.460438657406</v>
      </c>
      <c r="K4" s="20"/>
    </row>
    <row r="6" spans="1:12" ht="19" x14ac:dyDescent="0.5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3"/>
      <c r="L6">
        <v>-1</v>
      </c>
    </row>
    <row r="8" spans="1:12" ht="68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2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2" x14ac:dyDescent="0.35">
      <c r="A10" s="32">
        <v>-800</v>
      </c>
      <c r="B10" s="32">
        <v>8.4999999996824958</v>
      </c>
      <c r="C10" s="33">
        <v>1</v>
      </c>
      <c r="D10" s="34">
        <v>1E-10</v>
      </c>
      <c r="E10" s="34">
        <v>169068855.34014866</v>
      </c>
      <c r="G10" s="32"/>
      <c r="H10" s="32"/>
      <c r="I10" s="33"/>
      <c r="J10" s="34"/>
      <c r="K10" s="34"/>
    </row>
    <row r="11" spans="1:12" x14ac:dyDescent="0.35">
      <c r="A11" s="32">
        <v>-507.1435177947572</v>
      </c>
      <c r="B11" s="32">
        <v>-20.926449518981077</v>
      </c>
      <c r="C11" s="33">
        <v>1</v>
      </c>
      <c r="D11" s="34">
        <v>10.795900261832081</v>
      </c>
      <c r="E11" s="34">
        <v>326834882.81277597</v>
      </c>
      <c r="G11" s="32"/>
      <c r="H11" s="32"/>
      <c r="I11" s="33"/>
      <c r="J11" s="34"/>
      <c r="K11" s="34"/>
    </row>
    <row r="12" spans="1:12" x14ac:dyDescent="0.35">
      <c r="A12" s="32">
        <v>-334.28703559111557</v>
      </c>
      <c r="B12" s="32">
        <v>-48.706029303839621</v>
      </c>
      <c r="C12" s="33">
        <v>1</v>
      </c>
      <c r="D12" s="34">
        <v>21.59180052356416</v>
      </c>
      <c r="E12" s="34">
        <v>387829286.22327697</v>
      </c>
      <c r="G12" s="32"/>
      <c r="H12" s="32"/>
      <c r="I12" s="33"/>
      <c r="J12" s="34"/>
      <c r="K12" s="34"/>
    </row>
    <row r="13" spans="1:12" x14ac:dyDescent="0.35">
      <c r="A13" s="32">
        <v>-161.43055338747399</v>
      </c>
      <c r="B13" s="32">
        <v>-74.838739354855861</v>
      </c>
      <c r="C13" s="33">
        <v>1</v>
      </c>
      <c r="D13" s="34">
        <v>32.387700785296239</v>
      </c>
      <c r="E13" s="34">
        <v>421639606.88270688</v>
      </c>
      <c r="G13" s="32"/>
      <c r="H13" s="32"/>
      <c r="I13" s="33"/>
      <c r="J13" s="34"/>
      <c r="K13" s="34"/>
    </row>
    <row r="14" spans="1:12" x14ac:dyDescent="0.35">
      <c r="A14" s="32">
        <v>240.93307617324251</v>
      </c>
      <c r="B14" s="32">
        <v>-128.01297309166418</v>
      </c>
      <c r="C14" s="33">
        <v>1</v>
      </c>
      <c r="D14" s="34">
        <v>43.183601047028318</v>
      </c>
      <c r="E14" s="34">
        <v>445186954.07681656</v>
      </c>
      <c r="G14" s="32"/>
      <c r="H14" s="32"/>
      <c r="I14" s="33"/>
      <c r="J14" s="34"/>
      <c r="K14" s="34"/>
    </row>
    <row r="15" spans="1:12" x14ac:dyDescent="0.35">
      <c r="A15" s="32">
        <v>575.88812890516874</v>
      </c>
      <c r="B15" s="32">
        <v>-171.11426499103132</v>
      </c>
      <c r="C15" s="33">
        <v>1</v>
      </c>
      <c r="D15" s="34">
        <v>53.979501308760398</v>
      </c>
      <c r="E15" s="34">
        <v>464624189.1376285</v>
      </c>
      <c r="G15" s="32"/>
      <c r="H15" s="32"/>
      <c r="I15" s="33"/>
      <c r="J15" s="34"/>
      <c r="K15" s="34"/>
    </row>
    <row r="16" spans="1:12" x14ac:dyDescent="0.35">
      <c r="A16" s="32">
        <v>838.66719979441689</v>
      </c>
      <c r="B16" s="32">
        <v>-203.54668942622143</v>
      </c>
      <c r="C16" s="33">
        <v>1</v>
      </c>
      <c r="D16" s="34">
        <v>64.775401570492477</v>
      </c>
      <c r="E16" s="34">
        <v>483655374.53452015</v>
      </c>
      <c r="G16" s="32"/>
      <c r="H16" s="32"/>
      <c r="I16" s="33"/>
      <c r="J16" s="34"/>
      <c r="K16" s="34"/>
    </row>
    <row r="17" spans="1:11" x14ac:dyDescent="0.35">
      <c r="A17" s="32">
        <v>1088.7134774878186</v>
      </c>
      <c r="B17" s="32">
        <v>-232.7406449780884</v>
      </c>
      <c r="C17" s="33">
        <v>1</v>
      </c>
      <c r="D17" s="34">
        <v>75.571301832224563</v>
      </c>
      <c r="E17" s="34">
        <v>504131241.81145829</v>
      </c>
      <c r="G17" s="32"/>
      <c r="H17" s="32"/>
      <c r="I17" s="33"/>
      <c r="J17" s="34"/>
      <c r="K17" s="34"/>
    </row>
    <row r="18" spans="1:11" x14ac:dyDescent="0.35">
      <c r="A18" s="32">
        <v>1319.4623063088027</v>
      </c>
      <c r="B18" s="32">
        <v>-257.87554968706092</v>
      </c>
      <c r="C18" s="33">
        <v>1</v>
      </c>
      <c r="D18" s="34">
        <v>86.367202093956649</v>
      </c>
      <c r="E18" s="34">
        <v>527445353.43938005</v>
      </c>
      <c r="G18" s="32"/>
      <c r="H18" s="32"/>
      <c r="I18" s="33"/>
      <c r="J18" s="34"/>
      <c r="K18" s="34"/>
    </row>
    <row r="19" spans="1:11" x14ac:dyDescent="0.35">
      <c r="A19" s="32">
        <v>1537.3461692148351</v>
      </c>
      <c r="B19" s="32">
        <v>-279.75546392282206</v>
      </c>
      <c r="C19" s="33">
        <v>1</v>
      </c>
      <c r="D19" s="34">
        <v>97.163102355688736</v>
      </c>
      <c r="E19" s="34">
        <v>554689865.13315833</v>
      </c>
      <c r="G19" s="32"/>
      <c r="H19" s="32"/>
      <c r="I19" s="33"/>
      <c r="J19" s="34"/>
      <c r="K19" s="34"/>
    </row>
    <row r="20" spans="1:11" x14ac:dyDescent="0.35">
      <c r="A20" s="32">
        <v>1710.4216970380178</v>
      </c>
      <c r="B20" s="32">
        <v>-294.38746653938472</v>
      </c>
      <c r="C20" s="33">
        <v>1</v>
      </c>
      <c r="D20" s="34">
        <v>107.95900261742082</v>
      </c>
      <c r="E20" s="34">
        <v>586790749.59212029</v>
      </c>
      <c r="G20" s="32"/>
      <c r="H20" s="32"/>
      <c r="I20" s="33"/>
      <c r="J20" s="34"/>
      <c r="K20" s="34"/>
    </row>
    <row r="21" spans="1:11" x14ac:dyDescent="0.35">
      <c r="A21" s="32">
        <v>1883.2781792416595</v>
      </c>
      <c r="B21" s="32">
        <v>-307.34521871966245</v>
      </c>
      <c r="C21" s="33">
        <v>1</v>
      </c>
      <c r="D21" s="34">
        <v>118.75490287915291</v>
      </c>
      <c r="E21" s="34">
        <v>624576214.17720068</v>
      </c>
      <c r="G21" s="32"/>
      <c r="H21" s="32"/>
      <c r="I21" s="33"/>
      <c r="J21" s="34"/>
      <c r="K21" s="34"/>
    </row>
    <row r="22" spans="1:11" x14ac:dyDescent="0.35">
      <c r="A22" s="32">
        <v>2056.1346614453014</v>
      </c>
      <c r="B22" s="32">
        <v>-318.65610116609787</v>
      </c>
      <c r="C22" s="33">
        <v>1</v>
      </c>
      <c r="D22" s="34">
        <v>129.55080314088499</v>
      </c>
      <c r="E22" s="34">
        <v>668813888.91128373</v>
      </c>
      <c r="G22" s="32"/>
      <c r="H22" s="32"/>
      <c r="I22" s="33"/>
      <c r="J22" s="34"/>
      <c r="K22" s="34"/>
    </row>
    <row r="23" spans="1:11" x14ac:dyDescent="0.35">
      <c r="A23" s="32">
        <v>2228.9911436489429</v>
      </c>
      <c r="B23" s="32">
        <v>-328.3201138786909</v>
      </c>
      <c r="C23" s="33">
        <v>1</v>
      </c>
      <c r="D23" s="34">
        <v>140.34670340261707</v>
      </c>
      <c r="E23" s="34">
        <v>720232239.85511041</v>
      </c>
      <c r="G23" s="32"/>
      <c r="H23" s="32"/>
      <c r="I23" s="33"/>
      <c r="J23" s="34"/>
      <c r="K23" s="34"/>
    </row>
    <row r="24" spans="1:11" x14ac:dyDescent="0.35">
      <c r="A24" s="32">
        <v>2401.8476258525843</v>
      </c>
      <c r="B24" s="32">
        <v>-336.33725685744167</v>
      </c>
      <c r="C24" s="33">
        <v>1</v>
      </c>
      <c r="D24" s="34">
        <v>151.14260366434914</v>
      </c>
      <c r="E24" s="34">
        <v>779533498.9943049</v>
      </c>
      <c r="G24" s="32"/>
      <c r="H24" s="32"/>
      <c r="I24" s="33"/>
      <c r="J24" s="34"/>
      <c r="K24" s="34"/>
    </row>
    <row r="25" spans="1:11" x14ac:dyDescent="0.35">
      <c r="A25" s="32">
        <v>2574.7041080562262</v>
      </c>
      <c r="B25" s="32">
        <v>-342.70753010235012</v>
      </c>
      <c r="C25" s="33">
        <v>1</v>
      </c>
      <c r="D25" s="34">
        <v>161.93850392608121</v>
      </c>
      <c r="E25" s="34">
        <v>847401788.88892019</v>
      </c>
      <c r="G25" s="32"/>
      <c r="H25" s="32"/>
      <c r="I25" s="33"/>
      <c r="J25" s="34"/>
      <c r="K25" s="34"/>
    </row>
    <row r="26" spans="1:11" x14ac:dyDescent="0.35">
      <c r="A26" s="32">
        <v>2747.5605902598677</v>
      </c>
      <c r="B26" s="32">
        <v>-347.43093361341624</v>
      </c>
      <c r="C26" s="33">
        <v>1</v>
      </c>
      <c r="D26" s="34">
        <v>172.73440418781328</v>
      </c>
      <c r="E26" s="34">
        <v>924508404.00836504</v>
      </c>
      <c r="G26" s="32"/>
      <c r="H26" s="32"/>
      <c r="I26" s="33"/>
      <c r="J26" s="34"/>
      <c r="K26" s="34"/>
    </row>
    <row r="27" spans="1:11" x14ac:dyDescent="0.35">
      <c r="A27" s="32">
        <v>2920.4170724635092</v>
      </c>
      <c r="B27" s="32">
        <v>-350.50746739064004</v>
      </c>
      <c r="C27" s="33">
        <v>1</v>
      </c>
      <c r="D27" s="34">
        <v>183.53030444954535</v>
      </c>
      <c r="E27" s="34">
        <v>1011515345.6646173</v>
      </c>
      <c r="G27" s="32"/>
      <c r="H27" s="32"/>
      <c r="I27" s="33"/>
      <c r="J27" s="34"/>
      <c r="K27" s="34"/>
    </row>
    <row r="28" spans="1:11" x14ac:dyDescent="0.35">
      <c r="A28" s="32">
        <v>3142.6711792129017</v>
      </c>
      <c r="B28" s="32">
        <v>-346.99736897944632</v>
      </c>
      <c r="C28" s="33">
        <v>1</v>
      </c>
      <c r="D28" s="34">
        <v>194.32620471127743</v>
      </c>
      <c r="E28" s="34">
        <v>1109077749.0904114</v>
      </c>
      <c r="G28" s="32"/>
      <c r="H28" s="32"/>
      <c r="I28" s="33"/>
      <c r="J28" s="34"/>
      <c r="K28" s="34"/>
    </row>
    <row r="29" spans="1:11" x14ac:dyDescent="0.35">
      <c r="A29" s="32">
        <v>3367.6646285456891</v>
      </c>
      <c r="B29" s="32">
        <v>-341.56646657607098</v>
      </c>
      <c r="C29" s="33">
        <v>1</v>
      </c>
      <c r="D29" s="34">
        <v>205.1221049730095</v>
      </c>
      <c r="E29" s="34">
        <v>1217845587.6256311</v>
      </c>
      <c r="G29" s="32"/>
      <c r="H29" s="32"/>
      <c r="I29" s="33"/>
      <c r="J29" s="34"/>
      <c r="K29" s="34"/>
    </row>
    <row r="30" spans="1:11" x14ac:dyDescent="0.35">
      <c r="A30" s="32">
        <v>3587.4443811655647</v>
      </c>
      <c r="B30" s="32">
        <v>-335.01006411014447</v>
      </c>
      <c r="C30" s="33">
        <v>1</v>
      </c>
      <c r="D30" s="34">
        <v>215.91800523474157</v>
      </c>
      <c r="E30" s="34">
        <v>1338464893.3263633</v>
      </c>
      <c r="G30" s="32"/>
      <c r="H30" s="32"/>
      <c r="I30" s="33"/>
      <c r="J30" s="34"/>
      <c r="K30" s="34"/>
    </row>
    <row r="31" spans="1:11" x14ac:dyDescent="0.35">
      <c r="A31" s="32">
        <v>3802.7552508886565</v>
      </c>
      <c r="B31" s="32">
        <v>-327.25368020005396</v>
      </c>
      <c r="C31" s="33">
        <v>1</v>
      </c>
      <c r="D31" s="34">
        <v>226.71390549647364</v>
      </c>
      <c r="E31" s="34">
        <v>1471578646.8564343</v>
      </c>
      <c r="G31" s="32"/>
      <c r="H31" s="32"/>
      <c r="I31" s="33"/>
      <c r="J31" s="34"/>
      <c r="K31" s="34"/>
    </row>
    <row r="32" spans="1:11" x14ac:dyDescent="0.35">
      <c r="A32" s="32">
        <v>4014.2066308372559</v>
      </c>
      <c r="B32" s="32">
        <v>-318.23637553357048</v>
      </c>
      <c r="C32" s="33">
        <v>1</v>
      </c>
      <c r="D32" s="34">
        <v>237.50980575820572</v>
      </c>
      <c r="E32" s="34">
        <v>1617827436.6851194</v>
      </c>
      <c r="G32" s="32"/>
      <c r="H32" s="32"/>
      <c r="I32" s="33"/>
      <c r="J32" s="34"/>
      <c r="K32" s="34"/>
    </row>
    <row r="33" spans="1:11" x14ac:dyDescent="0.35">
      <c r="A33" s="32">
        <v>4222.3019327210768</v>
      </c>
      <c r="B33" s="32">
        <v>-307.90780893972237</v>
      </c>
      <c r="C33" s="33">
        <v>1</v>
      </c>
      <c r="D33" s="34">
        <v>248.30570601993779</v>
      </c>
      <c r="E33" s="34">
        <v>1777849954.473361</v>
      </c>
      <c r="G33" s="32"/>
      <c r="H33" s="32"/>
      <c r="I33" s="33"/>
      <c r="J33" s="34"/>
      <c r="K33" s="34"/>
    </row>
    <row r="34" spans="1:11" x14ac:dyDescent="0.35">
      <c r="A34" s="32">
        <v>4427.4606662982187</v>
      </c>
      <c r="B34" s="32">
        <v>-296.22602944270011</v>
      </c>
      <c r="C34" s="33">
        <v>1</v>
      </c>
      <c r="D34" s="34">
        <v>259.10160628166989</v>
      </c>
      <c r="E34" s="34">
        <v>1952283372.251689</v>
      </c>
      <c r="G34" s="32"/>
      <c r="H34" s="32"/>
      <c r="I34" s="33"/>
      <c r="J34" s="34"/>
      <c r="K34" s="34"/>
    </row>
    <row r="35" spans="1:11" x14ac:dyDescent="0.35">
      <c r="A35" s="32">
        <v>4630.0352197654802</v>
      </c>
      <c r="B35" s="32">
        <v>-283.15579822282336</v>
      </c>
      <c r="C35" s="33">
        <v>1</v>
      </c>
      <c r="D35" s="34">
        <v>269.89750654340196</v>
      </c>
      <c r="E35" s="34">
        <v>2141763633.0389545</v>
      </c>
      <c r="G35" s="32"/>
      <c r="H35" s="32"/>
      <c r="I35" s="33"/>
      <c r="J35" s="34"/>
      <c r="K35" s="34"/>
    </row>
    <row r="36" spans="1:11" x14ac:dyDescent="0.35">
      <c r="A36" s="32">
        <v>4830.323767750926</v>
      </c>
      <c r="B36" s="32">
        <v>-268.66729781728588</v>
      </c>
      <c r="C36" s="33">
        <v>1</v>
      </c>
      <c r="D36" s="34">
        <v>280.69340680513403</v>
      </c>
      <c r="E36" s="34">
        <v>2274983313.2009907</v>
      </c>
      <c r="G36" s="32"/>
      <c r="H36" s="32"/>
      <c r="I36" s="33"/>
      <c r="J36" s="34"/>
      <c r="K36" s="34"/>
    </row>
    <row r="37" spans="1:11" x14ac:dyDescent="0.35">
      <c r="A37" s="32">
        <v>5028.5803108636455</v>
      </c>
      <c r="B37" s="32">
        <v>-252.73512816517868</v>
      </c>
      <c r="C37" s="33">
        <v>1</v>
      </c>
      <c r="D37" s="34">
        <v>291.4893070668661</v>
      </c>
      <c r="E37" s="34">
        <v>2496331788.6801143</v>
      </c>
      <c r="G37" s="32"/>
      <c r="H37" s="32"/>
      <c r="I37" s="33"/>
      <c r="J37" s="34"/>
      <c r="K37" s="34"/>
    </row>
    <row r="38" spans="1:11" x14ac:dyDescent="0.35">
      <c r="A38" s="32">
        <v>5225.0225639114324</v>
      </c>
      <c r="B38" s="32">
        <v>-235.33751778572255</v>
      </c>
      <c r="C38" s="33">
        <v>1</v>
      </c>
      <c r="D38" s="34">
        <v>302.28520732859818</v>
      </c>
      <c r="E38" s="34">
        <v>2734638389.7544441</v>
      </c>
      <c r="G38" s="32"/>
      <c r="H38" s="32"/>
      <c r="I38" s="33"/>
      <c r="J38" s="34"/>
      <c r="K38" s="34"/>
    </row>
    <row r="39" spans="1:11" x14ac:dyDescent="0.35">
      <c r="A39" s="32">
        <v>5401.6950870734163</v>
      </c>
      <c r="B39" s="32">
        <v>-218.27001066100425</v>
      </c>
      <c r="C39" s="33">
        <v>1</v>
      </c>
      <c r="D39" s="34">
        <v>313.08110759033025</v>
      </c>
      <c r="E39" s="34">
        <v>2990535113.1336927</v>
      </c>
      <c r="G39" s="32"/>
      <c r="H39" s="32"/>
      <c r="I39" s="33"/>
      <c r="J39" s="34"/>
      <c r="K39" s="34"/>
    </row>
    <row r="40" spans="1:11" x14ac:dyDescent="0.35">
      <c r="A40" s="32">
        <v>5595.0460000000003</v>
      </c>
      <c r="B40" s="32">
        <v>-197.88771574236162</v>
      </c>
      <c r="C40" s="33">
        <v>1</v>
      </c>
      <c r="D40" s="34">
        <v>323.87700785196245</v>
      </c>
      <c r="E40" s="34">
        <v>3264653587.4047565</v>
      </c>
      <c r="G40" s="32"/>
      <c r="H40" s="32"/>
      <c r="I40" s="33"/>
      <c r="J40" s="34"/>
      <c r="K40" s="34"/>
    </row>
    <row r="41" spans="1:11" x14ac:dyDescent="0.35">
      <c r="A41" s="32">
        <v>5595.0460000000003</v>
      </c>
      <c r="B41" s="32">
        <v>0</v>
      </c>
      <c r="C41" s="33">
        <v>1</v>
      </c>
      <c r="D41" s="34"/>
      <c r="E41" s="34"/>
      <c r="G41" s="32"/>
      <c r="H41" s="32"/>
      <c r="I41" s="33"/>
      <c r="J41" s="34"/>
      <c r="K41" s="34"/>
    </row>
    <row r="42" spans="1:11" x14ac:dyDescent="0.35">
      <c r="A42" s="32"/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 s="32">
        <v>-800</v>
      </c>
      <c r="B43" s="32">
        <v>8.5000000003175042</v>
      </c>
      <c r="C43" s="33">
        <v>1</v>
      </c>
      <c r="D43" s="34">
        <v>1E-10</v>
      </c>
      <c r="E43" s="34">
        <v>169068855.34114015</v>
      </c>
      <c r="G43" s="32"/>
      <c r="H43" s="32"/>
      <c r="I43" s="33"/>
      <c r="J43" s="34"/>
      <c r="K43" s="34"/>
    </row>
    <row r="44" spans="1:11" x14ac:dyDescent="0.35">
      <c r="A44" s="32">
        <v>-506.07945214196991</v>
      </c>
      <c r="B44" s="32">
        <v>38.102492045406052</v>
      </c>
      <c r="C44" s="33">
        <v>1</v>
      </c>
      <c r="D44" s="34">
        <v>10.862357397329566</v>
      </c>
      <c r="E44" s="34">
        <v>379792401.65029895</v>
      </c>
      <c r="G44" s="32"/>
      <c r="H44" s="32"/>
      <c r="I44" s="33"/>
      <c r="J44" s="34"/>
      <c r="K44" s="34"/>
    </row>
    <row r="45" spans="1:11" x14ac:dyDescent="0.35">
      <c r="A45" s="32">
        <v>-332.15890428554098</v>
      </c>
      <c r="B45" s="32">
        <v>66.037776431064174</v>
      </c>
      <c r="C45" s="33">
        <v>1</v>
      </c>
      <c r="D45" s="34">
        <v>21.724714794559134</v>
      </c>
      <c r="E45" s="34">
        <v>460735857.46154279</v>
      </c>
      <c r="G45" s="32"/>
      <c r="H45" s="32"/>
      <c r="I45" s="33"/>
      <c r="J45" s="34"/>
      <c r="K45" s="34"/>
    </row>
    <row r="46" spans="1:11" x14ac:dyDescent="0.35">
      <c r="A46" s="32">
        <v>-158.23835642911206</v>
      </c>
      <c r="B46" s="32">
        <v>92.305853157254575</v>
      </c>
      <c r="C46" s="33">
        <v>1</v>
      </c>
      <c r="D46" s="34">
        <v>32.5870721917887</v>
      </c>
      <c r="E46" s="34">
        <v>505041532.24972719</v>
      </c>
      <c r="G46" s="32"/>
      <c r="H46" s="32"/>
      <c r="I46" s="33"/>
      <c r="J46" s="34"/>
      <c r="K46" s="34"/>
    </row>
    <row r="47" spans="1:11" x14ac:dyDescent="0.35">
      <c r="A47" s="32">
        <v>15.682191427316866</v>
      </c>
      <c r="B47" s="32">
        <v>116.90672222397724</v>
      </c>
      <c r="C47" s="33">
        <v>1</v>
      </c>
      <c r="D47" s="34">
        <v>43.449429589018266</v>
      </c>
      <c r="E47" s="34">
        <v>535102199.54154325</v>
      </c>
      <c r="G47" s="32"/>
      <c r="H47" s="32"/>
      <c r="I47" s="33"/>
      <c r="J47" s="34"/>
      <c r="K47" s="34"/>
    </row>
    <row r="48" spans="1:11" x14ac:dyDescent="0.35">
      <c r="A48" s="32">
        <v>262.96174083356743</v>
      </c>
      <c r="B48" s="32">
        <v>147.17628378621436</v>
      </c>
      <c r="C48" s="33">
        <v>1</v>
      </c>
      <c r="D48" s="34">
        <v>54.311786986247832</v>
      </c>
      <c r="E48" s="34">
        <v>559344249.06053197</v>
      </c>
      <c r="G48" s="32"/>
      <c r="H48" s="32"/>
      <c r="I48" s="33"/>
      <c r="J48" s="34"/>
      <c r="K48" s="34"/>
    </row>
    <row r="49" spans="1:11" x14ac:dyDescent="0.35">
      <c r="A49" s="32">
        <v>597.98912176477893</v>
      </c>
      <c r="B49" s="32">
        <v>184.55342084147981</v>
      </c>
      <c r="C49" s="33">
        <v>1</v>
      </c>
      <c r="D49" s="34">
        <v>65.174144383477397</v>
      </c>
      <c r="E49" s="34">
        <v>581886587.28722024</v>
      </c>
      <c r="G49" s="32"/>
      <c r="H49" s="32"/>
      <c r="I49" s="33"/>
      <c r="J49" s="34"/>
      <c r="K49" s="34"/>
    </row>
    <row r="50" spans="1:11" x14ac:dyDescent="0.35">
      <c r="A50" s="32">
        <v>886.98597896039905</v>
      </c>
      <c r="B50" s="32">
        <v>215.6602978637184</v>
      </c>
      <c r="C50" s="33">
        <v>1</v>
      </c>
      <c r="D50" s="34">
        <v>76.036501780706971</v>
      </c>
      <c r="E50" s="34">
        <v>602925459.46364069</v>
      </c>
      <c r="G50" s="32"/>
      <c r="H50" s="32"/>
      <c r="I50" s="33"/>
      <c r="J50" s="34"/>
      <c r="K50" s="34"/>
    </row>
    <row r="51" spans="1:11" x14ac:dyDescent="0.35">
      <c r="A51" s="32">
        <v>1129.070633821254</v>
      </c>
      <c r="B51" s="32">
        <v>240.40874699301284</v>
      </c>
      <c r="C51" s="33">
        <v>1</v>
      </c>
      <c r="D51" s="34">
        <v>86.898859177936544</v>
      </c>
      <c r="E51" s="34">
        <v>628284263.01812661</v>
      </c>
      <c r="G51" s="32"/>
      <c r="H51" s="32"/>
      <c r="I51" s="33"/>
      <c r="J51" s="34"/>
      <c r="K51" s="34"/>
    </row>
    <row r="52" spans="1:11" x14ac:dyDescent="0.35">
      <c r="A52" s="32">
        <v>1370.1190287922566</v>
      </c>
      <c r="B52" s="32">
        <v>263.38636247385426</v>
      </c>
      <c r="C52" s="33">
        <v>1</v>
      </c>
      <c r="D52" s="34">
        <v>97.761216575166117</v>
      </c>
      <c r="E52" s="34">
        <v>657327803.98716891</v>
      </c>
      <c r="G52" s="32"/>
      <c r="H52" s="32"/>
      <c r="I52" s="33"/>
      <c r="J52" s="34"/>
      <c r="K52" s="34"/>
    </row>
    <row r="53" spans="1:11" x14ac:dyDescent="0.35">
      <c r="A53" s="32">
        <v>1597.7418543403567</v>
      </c>
      <c r="B53" s="32">
        <v>283.35421335293768</v>
      </c>
      <c r="C53" s="33">
        <v>1</v>
      </c>
      <c r="D53" s="34">
        <v>108.62357397239569</v>
      </c>
      <c r="E53" s="34">
        <v>691085292.67121673</v>
      </c>
      <c r="G53" s="32"/>
      <c r="H53" s="32"/>
      <c r="I53" s="33"/>
      <c r="J53" s="34"/>
      <c r="K53" s="34"/>
    </row>
    <row r="54" spans="1:11" x14ac:dyDescent="0.35">
      <c r="A54" s="32">
        <v>1815.6006293990702</v>
      </c>
      <c r="B54" s="32">
        <v>300.67845152361474</v>
      </c>
      <c r="C54" s="33">
        <v>1</v>
      </c>
      <c r="D54" s="34">
        <v>119.48593136962526</v>
      </c>
      <c r="E54" s="34">
        <v>730457948.10692871</v>
      </c>
      <c r="G54" s="32"/>
      <c r="H54" s="32"/>
      <c r="I54" s="33"/>
      <c r="J54" s="34"/>
      <c r="K54" s="34"/>
    </row>
    <row r="55" spans="1:11" x14ac:dyDescent="0.35">
      <c r="A55" s="32">
        <v>2026.136366590742</v>
      </c>
      <c r="B55" s="32">
        <v>315.60317824811989</v>
      </c>
      <c r="C55" s="33">
        <v>1</v>
      </c>
      <c r="D55" s="34">
        <v>130.34828876685484</v>
      </c>
      <c r="E55" s="34">
        <v>776267709.36540544</v>
      </c>
      <c r="G55" s="32"/>
      <c r="H55" s="32"/>
      <c r="I55" s="33"/>
      <c r="J55" s="34"/>
      <c r="K55" s="34"/>
    </row>
    <row r="56" spans="1:11" x14ac:dyDescent="0.35">
      <c r="A56" s="32">
        <v>2231.0389977308419</v>
      </c>
      <c r="B56" s="32">
        <v>328.29738670800009</v>
      </c>
      <c r="C56" s="33">
        <v>1</v>
      </c>
      <c r="D56" s="34">
        <v>141.21064616408441</v>
      </c>
      <c r="E56" s="34">
        <v>829285273.96978045</v>
      </c>
      <c r="G56" s="32"/>
      <c r="H56" s="32"/>
      <c r="I56" s="33"/>
      <c r="J56" s="34"/>
      <c r="K56" s="34"/>
    </row>
    <row r="57" spans="1:11" x14ac:dyDescent="0.35">
      <c r="A57" s="32">
        <v>2416.7445449916067</v>
      </c>
      <c r="B57" s="32">
        <v>337.40467912047916</v>
      </c>
      <c r="C57" s="33">
        <v>1</v>
      </c>
      <c r="D57" s="34">
        <v>152.07300356131398</v>
      </c>
      <c r="E57" s="34">
        <v>890247022.99487114</v>
      </c>
      <c r="G57" s="32"/>
      <c r="H57" s="32"/>
      <c r="I57" s="33"/>
      <c r="J57" s="34"/>
      <c r="K57" s="34"/>
    </row>
    <row r="58" spans="1:11" x14ac:dyDescent="0.35">
      <c r="A58" s="32">
        <v>2590.6650928480358</v>
      </c>
      <c r="B58" s="32">
        <v>343.66626393305683</v>
      </c>
      <c r="C58" s="33">
        <v>1</v>
      </c>
      <c r="D58" s="34">
        <v>162.93536095854355</v>
      </c>
      <c r="E58" s="34">
        <v>959865653.42666757</v>
      </c>
      <c r="G58" s="32"/>
      <c r="H58" s="32"/>
      <c r="I58" s="33"/>
      <c r="J58" s="34"/>
      <c r="K58" s="34"/>
    </row>
    <row r="59" spans="1:11" x14ac:dyDescent="0.35">
      <c r="A59" s="32">
        <v>2764.5856407044648</v>
      </c>
      <c r="B59" s="32">
        <v>348.26064108616674</v>
      </c>
      <c r="C59" s="33">
        <v>1</v>
      </c>
      <c r="D59" s="34">
        <v>173.79771835577313</v>
      </c>
      <c r="E59" s="34">
        <v>1038837088.0846175</v>
      </c>
      <c r="G59" s="32"/>
      <c r="H59" s="32"/>
      <c r="I59" s="33"/>
      <c r="J59" s="34"/>
      <c r="K59" s="34"/>
    </row>
    <row r="60" spans="1:11" x14ac:dyDescent="0.35">
      <c r="A60" s="32">
        <v>2938.5061885608939</v>
      </c>
      <c r="B60" s="32">
        <v>351.18781057980891</v>
      </c>
      <c r="C60" s="33">
        <v>1</v>
      </c>
      <c r="D60" s="34">
        <v>184.6600757530027</v>
      </c>
      <c r="E60" s="34">
        <v>1127845099.7279201</v>
      </c>
      <c r="G60" s="32"/>
      <c r="H60" s="32"/>
      <c r="I60" s="33"/>
      <c r="J60" s="34"/>
      <c r="K60" s="34"/>
    </row>
    <row r="61" spans="1:11" x14ac:dyDescent="0.35">
      <c r="A61" s="32">
        <v>3112.4267364173229</v>
      </c>
      <c r="B61" s="32">
        <v>352.44777241398344</v>
      </c>
      <c r="C61" s="33">
        <v>1</v>
      </c>
      <c r="D61" s="34">
        <v>195.52243315023227</v>
      </c>
      <c r="E61" s="34">
        <v>1227564485.4274549</v>
      </c>
      <c r="G61" s="32"/>
      <c r="H61" s="32"/>
      <c r="I61" s="33"/>
      <c r="J61" s="34"/>
      <c r="K61" s="34"/>
    </row>
    <row r="62" spans="1:11" x14ac:dyDescent="0.35">
      <c r="A62" s="32">
        <v>3308.8304437985003</v>
      </c>
      <c r="B62" s="32">
        <v>349.23013164809669</v>
      </c>
      <c r="C62" s="33">
        <v>1</v>
      </c>
      <c r="D62" s="34">
        <v>206.38479054746185</v>
      </c>
      <c r="E62" s="34">
        <v>1338663295.1397929</v>
      </c>
      <c r="G62" s="32"/>
      <c r="H62" s="32"/>
      <c r="I62" s="33"/>
      <c r="J62" s="34"/>
      <c r="K62" s="34"/>
    </row>
    <row r="63" spans="1:11" x14ac:dyDescent="0.35">
      <c r="A63" s="32">
        <v>3533.6268336786684</v>
      </c>
      <c r="B63" s="32">
        <v>340.79619791036833</v>
      </c>
      <c r="C63" s="33">
        <v>1</v>
      </c>
      <c r="D63" s="34">
        <v>217.24714794469142</v>
      </c>
      <c r="E63" s="34">
        <v>1461804427.6949058</v>
      </c>
      <c r="G63" s="32"/>
      <c r="H63" s="32"/>
      <c r="I63" s="33"/>
      <c r="J63" s="34"/>
      <c r="K63" s="34"/>
    </row>
    <row r="64" spans="1:11" x14ac:dyDescent="0.35">
      <c r="A64" s="32">
        <v>3753.5779052708631</v>
      </c>
      <c r="B64" s="32">
        <v>331.30072129916897</v>
      </c>
      <c r="C64" s="33">
        <v>1</v>
      </c>
      <c r="D64" s="34">
        <v>228.10950534192099</v>
      </c>
      <c r="E64" s="34">
        <v>1597646794.2227063</v>
      </c>
      <c r="G64" s="32"/>
      <c r="H64" s="32"/>
      <c r="I64" s="33"/>
      <c r="J64" s="34"/>
      <c r="K64" s="34"/>
    </row>
    <row r="65" spans="1:11" x14ac:dyDescent="0.35">
      <c r="A65" s="32">
        <v>3969.3443837961727</v>
      </c>
      <c r="B65" s="32">
        <v>320.66111116186249</v>
      </c>
      <c r="C65" s="33">
        <v>1</v>
      </c>
      <c r="D65" s="34">
        <v>238.97186273915057</v>
      </c>
      <c r="E65" s="34">
        <v>1746846179.8837621</v>
      </c>
      <c r="G65" s="32"/>
      <c r="H65" s="32"/>
      <c r="I65" s="33"/>
      <c r="J65" s="34"/>
      <c r="K65" s="34"/>
    </row>
    <row r="66" spans="1:11" x14ac:dyDescent="0.35">
      <c r="A66" s="32">
        <v>4181.4720857415805</v>
      </c>
      <c r="B66" s="32">
        <v>308.80914043757605</v>
      </c>
      <c r="C66" s="33">
        <v>1</v>
      </c>
      <c r="D66" s="34">
        <v>249.83422013638014</v>
      </c>
      <c r="E66" s="34">
        <v>1910055891.3966713</v>
      </c>
      <c r="G66" s="32"/>
      <c r="H66" s="32"/>
      <c r="I66" s="33"/>
      <c r="J66" s="34"/>
      <c r="K66" s="34"/>
    </row>
    <row r="67" spans="1:11" x14ac:dyDescent="0.35">
      <c r="A67" s="32">
        <v>4390.4158581795746</v>
      </c>
      <c r="B67" s="32">
        <v>295.68795324224851</v>
      </c>
      <c r="C67" s="33">
        <v>1</v>
      </c>
      <c r="D67" s="34">
        <v>260.69657753360968</v>
      </c>
      <c r="E67" s="34">
        <v>2087927250.0103953</v>
      </c>
      <c r="G67" s="32"/>
      <c r="H67" s="32"/>
      <c r="I67" s="33"/>
      <c r="J67" s="34"/>
      <c r="K67" s="34"/>
    </row>
    <row r="68" spans="1:11" x14ac:dyDescent="0.35">
      <c r="A68" s="32">
        <v>4596.5577726510446</v>
      </c>
      <c r="B68" s="32">
        <v>281.24979063326879</v>
      </c>
      <c r="C68" s="33">
        <v>1</v>
      </c>
      <c r="D68" s="34">
        <v>271.55893493083926</v>
      </c>
      <c r="E68" s="34">
        <v>2281109971.3132529</v>
      </c>
      <c r="G68" s="32"/>
      <c r="H68" s="32"/>
      <c r="I68" s="33"/>
      <c r="J68" s="34"/>
      <c r="K68" s="34"/>
    </row>
    <row r="69" spans="1:11" x14ac:dyDescent="0.35">
      <c r="A69" s="32">
        <v>4800.2211204598198</v>
      </c>
      <c r="B69" s="32">
        <v>265.45424119765818</v>
      </c>
      <c r="C69" s="33">
        <v>1</v>
      </c>
      <c r="D69" s="34">
        <v>282.42129232806883</v>
      </c>
      <c r="E69" s="34">
        <v>2490252461.0682883</v>
      </c>
      <c r="G69" s="32"/>
      <c r="H69" s="32"/>
      <c r="I69" s="33"/>
      <c r="J69" s="34"/>
      <c r="K69" s="34"/>
    </row>
    <row r="70" spans="1:11" x14ac:dyDescent="0.35">
      <c r="A70" s="32">
        <v>5001.6812979017559</v>
      </c>
      <c r="B70" s="32">
        <v>248.26688039843475</v>
      </c>
      <c r="C70" s="33">
        <v>1</v>
      </c>
      <c r="D70" s="34">
        <v>293.2836497252984</v>
      </c>
      <c r="E70" s="34">
        <v>2716002047.965683</v>
      </c>
      <c r="G70" s="32"/>
      <c r="H70" s="32"/>
      <c r="I70" s="33"/>
      <c r="J70" s="34"/>
      <c r="K70" s="34"/>
    </row>
    <row r="71" spans="1:11" x14ac:dyDescent="0.35">
      <c r="A71" s="32">
        <v>5201.1743589447278</v>
      </c>
      <c r="B71" s="32">
        <v>229.65820148961421</v>
      </c>
      <c r="C71" s="33">
        <v>1</v>
      </c>
      <c r="D71" s="34">
        <v>304.14600712252798</v>
      </c>
      <c r="E71" s="34">
        <v>2873281718.1307397</v>
      </c>
      <c r="G71" s="32"/>
      <c r="H71" s="32"/>
      <c r="I71" s="33"/>
      <c r="J71" s="34"/>
      <c r="K71" s="34"/>
    </row>
    <row r="72" spans="1:11" x14ac:dyDescent="0.35">
      <c r="A72" s="32">
        <v>5398.9037983886274</v>
      </c>
      <c r="B72" s="32">
        <v>209.60276762120984</v>
      </c>
      <c r="C72" s="33">
        <v>1</v>
      </c>
      <c r="D72" s="34">
        <v>315.00836451975755</v>
      </c>
      <c r="E72" s="34">
        <v>3134043635.799437</v>
      </c>
      <c r="G72" s="32"/>
      <c r="H72" s="32"/>
      <c r="I72" s="33"/>
      <c r="J72" s="34"/>
      <c r="K72" s="34"/>
    </row>
    <row r="73" spans="1:11" x14ac:dyDescent="0.35">
      <c r="A73" s="32">
        <v>5595.0460000000003</v>
      </c>
      <c r="B73" s="32">
        <v>188.07853352343844</v>
      </c>
      <c r="C73" s="33">
        <v>1</v>
      </c>
      <c r="D73" s="34">
        <v>325.87072191688696</v>
      </c>
      <c r="E73" s="34">
        <v>3413358775.478539</v>
      </c>
      <c r="G73" s="32"/>
      <c r="H73" s="32"/>
      <c r="I73" s="33"/>
      <c r="J73" s="34"/>
      <c r="K73" s="34"/>
    </row>
    <row r="74" spans="1:11" x14ac:dyDescent="0.35">
      <c r="A74" s="32">
        <v>5595.0460000000003</v>
      </c>
      <c r="B74" s="32">
        <v>0</v>
      </c>
      <c r="C74" s="33">
        <v>1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E1:H2"/>
    <mergeCell ref="E3:H4"/>
    <mergeCell ref="A1:C2"/>
  </mergeCells>
  <hyperlinks>
    <hyperlink ref="B3" r:id="rId1" display="WeldGroup" xr:uid="{E91D029E-3CD8-4EEC-9750-2D60578773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ACB8-7BDA-4D49-96F2-198D48B01A1F}">
  <dimension ref="A1:L76"/>
  <sheetViews>
    <sheetView workbookViewId="0">
      <selection sqref="A1:K1048576"/>
    </sheetView>
  </sheetViews>
  <sheetFormatPr defaultRowHeight="14.5" x14ac:dyDescent="0.35"/>
  <cols>
    <col min="1" max="2" width="7" customWidth="1"/>
    <col min="3" max="3" width="5.81640625" customWidth="1"/>
    <col min="4" max="4" width="7.36328125" customWidth="1"/>
    <col min="5" max="9" width="7" customWidth="1"/>
    <col min="10" max="10" width="8.453125" customWidth="1"/>
    <col min="11" max="12" width="7" customWidth="1"/>
  </cols>
  <sheetData>
    <row r="1" spans="1:12" ht="14.5" customHeight="1" x14ac:dyDescent="0.35">
      <c r="A1" s="41" t="str">
        <f>IF([6]Input!A1="","",[6]Input!A1)</f>
        <v/>
      </c>
      <c r="B1" s="36"/>
      <c r="C1" s="42"/>
      <c r="D1" s="2" t="s">
        <v>0</v>
      </c>
      <c r="E1" s="35" t="str">
        <f>IF([6]Input!E1="","",[6]Input!E1)</f>
        <v>OLN PTUS</v>
      </c>
      <c r="F1" s="36"/>
      <c r="G1" s="36"/>
      <c r="H1" s="36"/>
      <c r="I1" s="2" t="s">
        <v>1</v>
      </c>
      <c r="J1" s="3" t="str">
        <f>IF([6]Input!K1="","",[6]Input!K1)</f>
        <v/>
      </c>
      <c r="K1" s="4"/>
    </row>
    <row r="2" spans="1:12" ht="14.5" customHeight="1" x14ac:dyDescent="0.35">
      <c r="A2" s="43"/>
      <c r="B2" s="37"/>
      <c r="C2" s="44"/>
      <c r="D2" s="5"/>
      <c r="E2" s="37"/>
      <c r="F2" s="37"/>
      <c r="G2" s="37"/>
      <c r="H2" s="37"/>
      <c r="I2" s="6" t="s">
        <v>2</v>
      </c>
      <c r="J2" s="7">
        <f ca="1">NOW()</f>
        <v>46155.397002314814</v>
      </c>
      <c r="K2" s="8"/>
    </row>
    <row r="3" spans="1:12" ht="14.5" customHeight="1" x14ac:dyDescent="0.35">
      <c r="A3" s="9"/>
      <c r="B3" s="1" t="s">
        <v>3</v>
      </c>
      <c r="C3" s="10"/>
      <c r="D3" s="11" t="s">
        <v>4</v>
      </c>
      <c r="E3" s="38" t="str">
        <f>IF([6]Input!E3="","",[6]Input!E3)</f>
        <v>Bain Adit - Final Lining</v>
      </c>
      <c r="F3" s="39"/>
      <c r="G3" s="39"/>
      <c r="H3" s="39"/>
      <c r="I3" s="11" t="s">
        <v>5</v>
      </c>
      <c r="J3" s="12" t="str">
        <f>IF([6]Input!K3="","",[6]Input!K3)</f>
        <v/>
      </c>
      <c r="K3" s="13"/>
    </row>
    <row r="4" spans="1:12" ht="15" customHeight="1" thickBot="1" x14ac:dyDescent="0.4">
      <c r="A4" s="14"/>
      <c r="B4" s="15">
        <f>[6]Input!B4</f>
        <v>2021.04</v>
      </c>
      <c r="C4" s="16"/>
      <c r="D4" s="17"/>
      <c r="E4" s="40"/>
      <c r="F4" s="40"/>
      <c r="G4" s="40"/>
      <c r="H4" s="40"/>
      <c r="I4" s="18" t="s">
        <v>2</v>
      </c>
      <c r="J4" s="19">
        <f ca="1">IF([6]Input!K4="","",[6]Input!K4)</f>
        <v>46155.397002430553</v>
      </c>
      <c r="K4" s="20"/>
    </row>
    <row r="6" spans="1:12" ht="19" x14ac:dyDescent="0.5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3"/>
      <c r="L6">
        <v>-1</v>
      </c>
    </row>
    <row r="8" spans="1:12" ht="68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2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2" x14ac:dyDescent="0.35">
      <c r="A10" s="32">
        <v>-1200</v>
      </c>
      <c r="B10" s="32">
        <v>12.749999999682496</v>
      </c>
      <c r="C10" s="33">
        <v>1</v>
      </c>
      <c r="D10" s="34">
        <v>1E-10</v>
      </c>
      <c r="E10" s="34">
        <v>253603283.00872689</v>
      </c>
      <c r="G10" s="32"/>
      <c r="H10" s="32"/>
      <c r="I10" s="33"/>
      <c r="J10" s="34"/>
      <c r="K10" s="34"/>
    </row>
    <row r="11" spans="1:12" x14ac:dyDescent="0.35">
      <c r="A11" s="32">
        <v>-845.63956696718492</v>
      </c>
      <c r="B11" s="32">
        <v>-16.925249865764069</v>
      </c>
      <c r="C11" s="33">
        <v>1</v>
      </c>
      <c r="D11" s="34">
        <v>10.889830804245245</v>
      </c>
      <c r="E11" s="34">
        <v>440017612.20159674</v>
      </c>
      <c r="G11" s="32"/>
      <c r="H11" s="32"/>
      <c r="I11" s="33"/>
      <c r="J11" s="34"/>
      <c r="K11" s="34"/>
    </row>
    <row r="12" spans="1:12" x14ac:dyDescent="0.35">
      <c r="A12" s="32">
        <v>-671.279133935971</v>
      </c>
      <c r="B12" s="32">
        <v>-44.924847901321606</v>
      </c>
      <c r="C12" s="33">
        <v>1</v>
      </c>
      <c r="D12" s="34">
        <v>21.779661608390491</v>
      </c>
      <c r="E12" s="34">
        <v>530044063.40243888</v>
      </c>
      <c r="G12" s="32"/>
      <c r="H12" s="32"/>
      <c r="I12" s="33"/>
      <c r="J12" s="34"/>
      <c r="K12" s="34"/>
    </row>
    <row r="13" spans="1:12" x14ac:dyDescent="0.35">
      <c r="A13" s="32">
        <v>-496.91870090475709</v>
      </c>
      <c r="B13" s="32">
        <v>-71.248794106952786</v>
      </c>
      <c r="C13" s="33">
        <v>1</v>
      </c>
      <c r="D13" s="34">
        <v>32.669492412535732</v>
      </c>
      <c r="E13" s="34">
        <v>584472550.29385138</v>
      </c>
      <c r="G13" s="32"/>
      <c r="H13" s="32"/>
      <c r="I13" s="33"/>
      <c r="J13" s="34"/>
      <c r="K13" s="34"/>
    </row>
    <row r="14" spans="1:12" x14ac:dyDescent="0.35">
      <c r="A14" s="32">
        <v>32.188846565204472</v>
      </c>
      <c r="B14" s="32">
        <v>-140.24047778750108</v>
      </c>
      <c r="C14" s="33">
        <v>1</v>
      </c>
      <c r="D14" s="34">
        <v>43.55932321668098</v>
      </c>
      <c r="E14" s="34">
        <v>622898647.21228015</v>
      </c>
      <c r="G14" s="32"/>
      <c r="H14" s="32"/>
      <c r="I14" s="33"/>
      <c r="J14" s="34"/>
      <c r="K14" s="34"/>
    </row>
    <row r="15" spans="1:12" x14ac:dyDescent="0.35">
      <c r="A15" s="32">
        <v>447.59985670822641</v>
      </c>
      <c r="B15" s="32">
        <v>-193.34444247225557</v>
      </c>
      <c r="C15" s="33">
        <v>1</v>
      </c>
      <c r="D15" s="34">
        <v>54.449154020826228</v>
      </c>
      <c r="E15" s="34">
        <v>653775730.57829762</v>
      </c>
      <c r="G15" s="32"/>
      <c r="H15" s="32"/>
      <c r="I15" s="33"/>
      <c r="J15" s="34"/>
      <c r="K15" s="34"/>
    </row>
    <row r="16" spans="1:12" x14ac:dyDescent="0.35">
      <c r="A16" s="32">
        <v>755.44598698076857</v>
      </c>
      <c r="B16" s="32">
        <v>-231.32714534327371</v>
      </c>
      <c r="C16" s="33">
        <v>1</v>
      </c>
      <c r="D16" s="34">
        <v>65.338984824971476</v>
      </c>
      <c r="E16" s="34">
        <v>681569942.64215028</v>
      </c>
      <c r="G16" s="32"/>
      <c r="H16" s="32"/>
      <c r="I16" s="33"/>
      <c r="J16" s="34"/>
      <c r="K16" s="34"/>
    </row>
    <row r="17" spans="1:11" x14ac:dyDescent="0.35">
      <c r="A17" s="32">
        <v>1044.5924091129914</v>
      </c>
      <c r="B17" s="32">
        <v>-265.29673286682566</v>
      </c>
      <c r="C17" s="33">
        <v>1</v>
      </c>
      <c r="D17" s="34">
        <v>76.228815629116724</v>
      </c>
      <c r="E17" s="34">
        <v>709101303.80611956</v>
      </c>
      <c r="G17" s="32"/>
      <c r="H17" s="32"/>
      <c r="I17" s="33"/>
      <c r="J17" s="34"/>
      <c r="K17" s="34"/>
    </row>
    <row r="18" spans="1:11" x14ac:dyDescent="0.35">
      <c r="A18" s="32">
        <v>1305.0423339699948</v>
      </c>
      <c r="B18" s="32">
        <v>-294.00360640104878</v>
      </c>
      <c r="C18" s="33">
        <v>1</v>
      </c>
      <c r="D18" s="34">
        <v>87.118646433261972</v>
      </c>
      <c r="E18" s="34">
        <v>738294721.75337732</v>
      </c>
      <c r="G18" s="32"/>
      <c r="H18" s="32"/>
      <c r="I18" s="33"/>
      <c r="J18" s="34"/>
      <c r="K18" s="34"/>
    </row>
    <row r="19" spans="1:11" x14ac:dyDescent="0.35">
      <c r="A19" s="32">
        <v>1542.0292097825268</v>
      </c>
      <c r="B19" s="32">
        <v>-318.1019469747867</v>
      </c>
      <c r="C19" s="33">
        <v>1</v>
      </c>
      <c r="D19" s="34">
        <v>98.00847723740722</v>
      </c>
      <c r="E19" s="34">
        <v>770597000.03891075</v>
      </c>
      <c r="G19" s="32"/>
      <c r="H19" s="32"/>
      <c r="I19" s="33"/>
      <c r="J19" s="34"/>
      <c r="K19" s="34"/>
    </row>
    <row r="20" spans="1:11" x14ac:dyDescent="0.35">
      <c r="A20" s="32">
        <v>1716.3896428137405</v>
      </c>
      <c r="B20" s="32">
        <v>-332.69633037093342</v>
      </c>
      <c r="C20" s="33">
        <v>1</v>
      </c>
      <c r="D20" s="34">
        <v>108.89830804155247</v>
      </c>
      <c r="E20" s="34">
        <v>807181115.88568878</v>
      </c>
      <c r="G20" s="32"/>
      <c r="H20" s="32"/>
      <c r="I20" s="33"/>
      <c r="J20" s="34"/>
      <c r="K20" s="34"/>
    </row>
    <row r="21" spans="1:11" x14ac:dyDescent="0.35">
      <c r="A21" s="32">
        <v>1890.7500758449544</v>
      </c>
      <c r="B21" s="32">
        <v>-345.61506193715383</v>
      </c>
      <c r="C21" s="33">
        <v>1</v>
      </c>
      <c r="D21" s="34">
        <v>119.78813884569772</v>
      </c>
      <c r="E21" s="34">
        <v>849054006.2824899</v>
      </c>
      <c r="G21" s="32"/>
      <c r="H21" s="32"/>
      <c r="I21" s="33"/>
      <c r="J21" s="34"/>
      <c r="K21" s="34"/>
    </row>
    <row r="22" spans="1:11" x14ac:dyDescent="0.35">
      <c r="A22" s="32">
        <v>2065.1105088761688</v>
      </c>
      <c r="B22" s="32">
        <v>-356.85814167344796</v>
      </c>
      <c r="C22" s="33">
        <v>1</v>
      </c>
      <c r="D22" s="34">
        <v>130.67796964984296</v>
      </c>
      <c r="E22" s="34">
        <v>897117156.42503238</v>
      </c>
      <c r="G22" s="32"/>
      <c r="H22" s="32"/>
      <c r="I22" s="33"/>
      <c r="J22" s="34"/>
      <c r="K22" s="34"/>
    </row>
    <row r="23" spans="1:11" x14ac:dyDescent="0.35">
      <c r="A23" s="32">
        <v>2239.4709419073829</v>
      </c>
      <c r="B23" s="32">
        <v>-366.42556957981566</v>
      </c>
      <c r="C23" s="33">
        <v>1</v>
      </c>
      <c r="D23" s="34">
        <v>141.56780045398821</v>
      </c>
      <c r="E23" s="34">
        <v>952202462.05467463</v>
      </c>
      <c r="G23" s="32"/>
      <c r="H23" s="32"/>
      <c r="I23" s="33"/>
      <c r="J23" s="34"/>
      <c r="K23" s="34"/>
    </row>
    <row r="24" spans="1:11" x14ac:dyDescent="0.35">
      <c r="A24" s="32">
        <v>2413.831374938597</v>
      </c>
      <c r="B24" s="32">
        <v>-374.31734565625709</v>
      </c>
      <c r="C24" s="33">
        <v>1</v>
      </c>
      <c r="D24" s="34">
        <v>152.45763125813346</v>
      </c>
      <c r="E24" s="34">
        <v>1015094388.4547496</v>
      </c>
      <c r="G24" s="32"/>
      <c r="H24" s="32"/>
      <c r="I24" s="33"/>
      <c r="J24" s="34"/>
      <c r="K24" s="34"/>
    </row>
    <row r="25" spans="1:11" x14ac:dyDescent="0.35">
      <c r="A25" s="32">
        <v>2588.1918079698112</v>
      </c>
      <c r="B25" s="32">
        <v>-380.53346990277208</v>
      </c>
      <c r="C25" s="33">
        <v>1</v>
      </c>
      <c r="D25" s="34">
        <v>163.34746206227871</v>
      </c>
      <c r="E25" s="34">
        <v>1086544169.2285371</v>
      </c>
      <c r="G25" s="32"/>
      <c r="H25" s="32"/>
      <c r="I25" s="33"/>
      <c r="J25" s="34"/>
      <c r="K25" s="34"/>
    </row>
    <row r="26" spans="1:11" x14ac:dyDescent="0.35">
      <c r="A26" s="32">
        <v>2762.5522410010249</v>
      </c>
      <c r="B26" s="32">
        <v>-385.07394231936081</v>
      </c>
      <c r="C26" s="33">
        <v>1</v>
      </c>
      <c r="D26" s="34">
        <v>174.23729286642396</v>
      </c>
      <c r="E26" s="34">
        <v>1167279192.5582993</v>
      </c>
      <c r="G26" s="32"/>
      <c r="H26" s="32"/>
      <c r="I26" s="33"/>
      <c r="J26" s="34"/>
      <c r="K26" s="34"/>
    </row>
    <row r="27" spans="1:11" x14ac:dyDescent="0.35">
      <c r="A27" s="32">
        <v>2937.1736456561157</v>
      </c>
      <c r="B27" s="32">
        <v>-387.91266574363539</v>
      </c>
      <c r="C27" s="33">
        <v>1</v>
      </c>
      <c r="D27" s="34">
        <v>185.1271236705692</v>
      </c>
      <c r="E27" s="34">
        <v>1258009376.20123</v>
      </c>
      <c r="G27" s="32"/>
      <c r="H27" s="32"/>
      <c r="I27" s="33"/>
      <c r="J27" s="34"/>
      <c r="K27" s="34"/>
    </row>
    <row r="28" spans="1:11" x14ac:dyDescent="0.35">
      <c r="A28" s="32">
        <v>3198.1862469304028</v>
      </c>
      <c r="B28" s="32">
        <v>-380.43661767606397</v>
      </c>
      <c r="C28" s="33">
        <v>1</v>
      </c>
      <c r="D28" s="34">
        <v>196.01695447471445</v>
      </c>
      <c r="E28" s="34">
        <v>1359431601.0892191</v>
      </c>
      <c r="G28" s="32"/>
      <c r="H28" s="32"/>
      <c r="I28" s="33"/>
      <c r="J28" s="34"/>
      <c r="K28" s="34"/>
    </row>
    <row r="29" spans="1:11" x14ac:dyDescent="0.35">
      <c r="A29" s="32">
        <v>3450.0775673370031</v>
      </c>
      <c r="B29" s="32">
        <v>-372.19704586533499</v>
      </c>
      <c r="C29" s="33">
        <v>1</v>
      </c>
      <c r="D29" s="34">
        <v>206.9067852788597</v>
      </c>
      <c r="E29" s="34">
        <v>1472232859.9701834</v>
      </c>
      <c r="G29" s="32"/>
      <c r="H29" s="32"/>
      <c r="I29" s="33"/>
      <c r="J29" s="34"/>
      <c r="K29" s="34"/>
    </row>
    <row r="30" spans="1:11" x14ac:dyDescent="0.35">
      <c r="A30" s="32">
        <v>3694.2157990060678</v>
      </c>
      <c r="B30" s="32">
        <v>-363.05713109843322</v>
      </c>
      <c r="C30" s="33">
        <v>1</v>
      </c>
      <c r="D30" s="34">
        <v>217.79661608300495</v>
      </c>
      <c r="E30" s="34">
        <v>1597092535.5497108</v>
      </c>
      <c r="G30" s="32"/>
      <c r="H30" s="32"/>
      <c r="I30" s="33"/>
      <c r="J30" s="34"/>
      <c r="K30" s="34"/>
    </row>
    <row r="31" spans="1:11" x14ac:dyDescent="0.35">
      <c r="A31" s="32">
        <v>3931.7085260429603</v>
      </c>
      <c r="B31" s="32">
        <v>-352.90611496482245</v>
      </c>
      <c r="C31" s="33">
        <v>1</v>
      </c>
      <c r="D31" s="34">
        <v>228.6864468871502</v>
      </c>
      <c r="E31" s="34">
        <v>1734684076.541801</v>
      </c>
      <c r="G31" s="32"/>
      <c r="H31" s="32"/>
      <c r="I31" s="33"/>
      <c r="J31" s="34"/>
      <c r="K31" s="34"/>
    </row>
    <row r="32" spans="1:11" x14ac:dyDescent="0.35">
      <c r="A32" s="32">
        <v>4163.4619536247928</v>
      </c>
      <c r="B32" s="32">
        <v>-341.65337694679107</v>
      </c>
      <c r="C32" s="33">
        <v>1</v>
      </c>
      <c r="D32" s="34">
        <v>239.57627769129545</v>
      </c>
      <c r="E32" s="34">
        <v>1885676249.4441962</v>
      </c>
      <c r="G32" s="32"/>
      <c r="H32" s="32"/>
      <c r="I32" s="33"/>
      <c r="J32" s="34"/>
      <c r="K32" s="34"/>
    </row>
    <row r="33" spans="1:11" x14ac:dyDescent="0.35">
      <c r="A33" s="32">
        <v>4390.2246860283121</v>
      </c>
      <c r="B33" s="32">
        <v>-329.22405661666483</v>
      </c>
      <c r="C33" s="33">
        <v>1</v>
      </c>
      <c r="D33" s="34">
        <v>250.46610849544069</v>
      </c>
      <c r="E33" s="34">
        <v>2050734086.2670765</v>
      </c>
      <c r="G33" s="32"/>
      <c r="H33" s="32"/>
      <c r="I33" s="33"/>
      <c r="J33" s="34"/>
      <c r="K33" s="34"/>
    </row>
    <row r="34" spans="1:11" x14ac:dyDescent="0.35">
      <c r="A34" s="32">
        <v>4612.6205601508082</v>
      </c>
      <c r="B34" s="32">
        <v>-315.55577028471453</v>
      </c>
      <c r="C34" s="33">
        <v>1</v>
      </c>
      <c r="D34" s="34">
        <v>261.35593929958594</v>
      </c>
      <c r="E34" s="34">
        <v>2230519611.0219593</v>
      </c>
      <c r="G34" s="32"/>
      <c r="H34" s="32"/>
      <c r="I34" s="33"/>
      <c r="J34" s="34"/>
      <c r="K34" s="34"/>
    </row>
    <row r="35" spans="1:11" x14ac:dyDescent="0.35">
      <c r="A35" s="32">
        <v>4831.1735989860026</v>
      </c>
      <c r="B35" s="32">
        <v>-300.59611565156808</v>
      </c>
      <c r="C35" s="33">
        <v>1</v>
      </c>
      <c r="D35" s="34">
        <v>272.24577010373116</v>
      </c>
      <c r="E35" s="34">
        <v>2425692402.9687552</v>
      </c>
      <c r="G35" s="32"/>
      <c r="H35" s="32"/>
      <c r="I35" s="33"/>
      <c r="J35" s="34"/>
      <c r="K35" s="34"/>
    </row>
    <row r="36" spans="1:11" x14ac:dyDescent="0.35">
      <c r="A36" s="32">
        <v>5046.3272066055069</v>
      </c>
      <c r="B36" s="32">
        <v>-284.30075231006418</v>
      </c>
      <c r="C36" s="33">
        <v>1</v>
      </c>
      <c r="D36" s="34">
        <v>283.13560090787638</v>
      </c>
      <c r="E36" s="34">
        <v>2531481507.9355798</v>
      </c>
      <c r="G36" s="32"/>
      <c r="H36" s="32"/>
      <c r="I36" s="33"/>
      <c r="J36" s="34"/>
      <c r="K36" s="34"/>
    </row>
    <row r="37" spans="1:11" x14ac:dyDescent="0.35">
      <c r="A37" s="32">
        <v>5258.4590975888432</v>
      </c>
      <c r="B37" s="32">
        <v>-266.63190880225085</v>
      </c>
      <c r="C37" s="33">
        <v>1</v>
      </c>
      <c r="D37" s="34">
        <v>294.0254317120216</v>
      </c>
      <c r="E37" s="34">
        <v>2759125175.9069376</v>
      </c>
      <c r="G37" s="32"/>
      <c r="H37" s="32"/>
      <c r="I37" s="33"/>
      <c r="J37" s="34"/>
      <c r="K37" s="34"/>
    </row>
    <row r="38" spans="1:11" x14ac:dyDescent="0.35">
      <c r="A38" s="32">
        <v>5467.8930272898851</v>
      </c>
      <c r="B38" s="32">
        <v>-247.55720959274058</v>
      </c>
      <c r="C38" s="33">
        <v>1</v>
      </c>
      <c r="D38" s="34">
        <v>304.91526251616682</v>
      </c>
      <c r="E38" s="34">
        <v>3004142371.9383044</v>
      </c>
      <c r="G38" s="32"/>
      <c r="H38" s="32"/>
      <c r="I38" s="33"/>
      <c r="J38" s="34"/>
      <c r="K38" s="34"/>
    </row>
    <row r="39" spans="1:11" x14ac:dyDescent="0.35">
      <c r="A39" s="32">
        <v>5647.69340765163</v>
      </c>
      <c r="B39" s="32">
        <v>-229.77021348723366</v>
      </c>
      <c r="C39" s="33">
        <v>1</v>
      </c>
      <c r="D39" s="34">
        <v>315.80509332031204</v>
      </c>
      <c r="E39" s="34">
        <v>3267184735.8984938</v>
      </c>
      <c r="G39" s="32"/>
      <c r="H39" s="32"/>
      <c r="I39" s="33"/>
      <c r="J39" s="34"/>
      <c r="K39" s="34"/>
    </row>
    <row r="40" spans="1:11" x14ac:dyDescent="0.35">
      <c r="A40" s="32">
        <v>5852.5315000000001</v>
      </c>
      <c r="B40" s="32">
        <v>-207.80379436754561</v>
      </c>
      <c r="C40" s="33">
        <v>1</v>
      </c>
      <c r="D40" s="34">
        <v>326.69492412435733</v>
      </c>
      <c r="E40" s="34">
        <v>3548903155.4198895</v>
      </c>
      <c r="G40" s="32"/>
      <c r="H40" s="32"/>
      <c r="I40" s="33"/>
      <c r="J40" s="34"/>
      <c r="K40" s="34"/>
    </row>
    <row r="41" spans="1:11" x14ac:dyDescent="0.35">
      <c r="A41" s="32">
        <v>5852.5315000000001</v>
      </c>
      <c r="B41" s="32">
        <v>0</v>
      </c>
      <c r="C41" s="33">
        <v>1</v>
      </c>
      <c r="D41" s="34"/>
      <c r="E41" s="34"/>
      <c r="G41" s="32"/>
      <c r="H41" s="32"/>
      <c r="I41" s="33"/>
      <c r="J41" s="34"/>
      <c r="K41" s="34"/>
    </row>
    <row r="42" spans="1:11" x14ac:dyDescent="0.35">
      <c r="A42" s="32"/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 s="32">
        <v>-1200</v>
      </c>
      <c r="B43" s="32">
        <v>12.750000000317504</v>
      </c>
      <c r="C43" s="33">
        <v>1</v>
      </c>
      <c r="D43" s="34">
        <v>1E-10</v>
      </c>
      <c r="E43" s="34">
        <v>253603283.00971839</v>
      </c>
      <c r="G43" s="32"/>
      <c r="H43" s="32"/>
      <c r="I43" s="33"/>
      <c r="J43" s="34"/>
      <c r="K43" s="34"/>
    </row>
    <row r="44" spans="1:11" x14ac:dyDescent="0.35">
      <c r="A44" s="32">
        <v>-844.1420725191382</v>
      </c>
      <c r="B44" s="32">
        <v>42.672858259707453</v>
      </c>
      <c r="C44" s="33">
        <v>1</v>
      </c>
      <c r="D44" s="34">
        <v>10.983358107922315</v>
      </c>
      <c r="E44" s="34">
        <v>503131429.8835386</v>
      </c>
      <c r="G44" s="32"/>
      <c r="H44" s="32"/>
      <c r="I44" s="33"/>
      <c r="J44" s="34"/>
      <c r="K44" s="34"/>
    </row>
    <row r="45" spans="1:11" x14ac:dyDescent="0.35">
      <c r="A45" s="32">
        <v>-668.28414503987756</v>
      </c>
      <c r="B45" s="32">
        <v>70.891158420279027</v>
      </c>
      <c r="C45" s="33">
        <v>1</v>
      </c>
      <c r="D45" s="34">
        <v>21.966716215744633</v>
      </c>
      <c r="E45" s="34">
        <v>622886328.64998651</v>
      </c>
      <c r="G45" s="32"/>
      <c r="H45" s="32"/>
      <c r="I45" s="33"/>
      <c r="J45" s="34"/>
      <c r="K45" s="34"/>
    </row>
    <row r="46" spans="1:11" x14ac:dyDescent="0.35">
      <c r="A46" s="32">
        <v>-492.42621756061692</v>
      </c>
      <c r="B46" s="32">
        <v>97.404900481994943</v>
      </c>
      <c r="C46" s="33">
        <v>1</v>
      </c>
      <c r="D46" s="34">
        <v>32.950074323566952</v>
      </c>
      <c r="E46" s="34">
        <v>694640866.72809434</v>
      </c>
      <c r="G46" s="32"/>
      <c r="H46" s="32"/>
      <c r="I46" s="33"/>
      <c r="J46" s="34"/>
      <c r="K46" s="34"/>
    </row>
    <row r="47" spans="1:11" x14ac:dyDescent="0.35">
      <c r="A47" s="32">
        <v>-316.56829008135617</v>
      </c>
      <c r="B47" s="32">
        <v>122.21408444485517</v>
      </c>
      <c r="C47" s="33">
        <v>1</v>
      </c>
      <c r="D47" s="34">
        <v>43.933432431389264</v>
      </c>
      <c r="E47" s="34">
        <v>744463846.55584478</v>
      </c>
      <c r="G47" s="32"/>
      <c r="H47" s="32"/>
      <c r="I47" s="33"/>
      <c r="J47" s="34"/>
      <c r="K47" s="34"/>
    </row>
    <row r="48" spans="1:11" x14ac:dyDescent="0.35">
      <c r="A48" s="32">
        <v>-14.698023329848638</v>
      </c>
      <c r="B48" s="32">
        <v>157.9199442360844</v>
      </c>
      <c r="C48" s="33">
        <v>1</v>
      </c>
      <c r="D48" s="34">
        <v>54.916790539211576</v>
      </c>
      <c r="E48" s="34">
        <v>783532562.1446774</v>
      </c>
      <c r="G48" s="32"/>
      <c r="H48" s="32"/>
      <c r="I48" s="33"/>
      <c r="J48" s="34"/>
      <c r="K48" s="34"/>
    </row>
    <row r="49" spans="1:11" x14ac:dyDescent="0.35">
      <c r="A49" s="32">
        <v>400.15784760367455</v>
      </c>
      <c r="B49" s="32">
        <v>203.21980634665954</v>
      </c>
      <c r="C49" s="33">
        <v>1</v>
      </c>
      <c r="D49" s="34">
        <v>65.900148647033888</v>
      </c>
      <c r="E49" s="34">
        <v>817648897.08523476</v>
      </c>
      <c r="G49" s="32"/>
      <c r="H49" s="32"/>
      <c r="I49" s="33"/>
      <c r="J49" s="34"/>
      <c r="K49" s="34"/>
    </row>
    <row r="50" spans="1:11" x14ac:dyDescent="0.35">
      <c r="A50" s="32">
        <v>746.72859183606897</v>
      </c>
      <c r="B50" s="32">
        <v>239.9865976882661</v>
      </c>
      <c r="C50" s="33">
        <v>1</v>
      </c>
      <c r="D50" s="34">
        <v>76.883506754856199</v>
      </c>
      <c r="E50" s="34">
        <v>848284641.28164887</v>
      </c>
      <c r="G50" s="32"/>
      <c r="H50" s="32"/>
      <c r="I50" s="33"/>
      <c r="J50" s="34"/>
      <c r="K50" s="34"/>
    </row>
    <row r="51" spans="1:11" x14ac:dyDescent="0.35">
      <c r="A51" s="32">
        <v>1023.4064443802285</v>
      </c>
      <c r="B51" s="32">
        <v>268.05954176219353</v>
      </c>
      <c r="C51" s="33">
        <v>1</v>
      </c>
      <c r="D51" s="34">
        <v>87.866864862678511</v>
      </c>
      <c r="E51" s="34">
        <v>881313502.33898246</v>
      </c>
      <c r="G51" s="32"/>
      <c r="H51" s="32"/>
      <c r="I51" s="33"/>
      <c r="J51" s="34"/>
      <c r="K51" s="34"/>
    </row>
    <row r="52" spans="1:11" x14ac:dyDescent="0.35">
      <c r="A52" s="32">
        <v>1298.8468482988837</v>
      </c>
      <c r="B52" s="32">
        <v>294.30418287471485</v>
      </c>
      <c r="C52" s="33">
        <v>1</v>
      </c>
      <c r="D52" s="34">
        <v>98.850222970500823</v>
      </c>
      <c r="E52" s="34">
        <v>916953397.48443294</v>
      </c>
      <c r="G52" s="32"/>
      <c r="H52" s="32"/>
      <c r="I52" s="33"/>
      <c r="J52" s="34"/>
      <c r="K52" s="34"/>
    </row>
    <row r="53" spans="1:11" x14ac:dyDescent="0.35">
      <c r="A53" s="32">
        <v>1554.370756929678</v>
      </c>
      <c r="B53" s="32">
        <v>316.85261635959438</v>
      </c>
      <c r="C53" s="33">
        <v>1</v>
      </c>
      <c r="D53" s="34">
        <v>109.83358107832314</v>
      </c>
      <c r="E53" s="34">
        <v>956556975.76955903</v>
      </c>
      <c r="G53" s="32"/>
      <c r="H53" s="32"/>
      <c r="I53" s="33"/>
      <c r="J53" s="34"/>
      <c r="K53" s="34"/>
    </row>
    <row r="54" spans="1:11" x14ac:dyDescent="0.35">
      <c r="A54" s="32">
        <v>1795.4099417147511</v>
      </c>
      <c r="B54" s="32">
        <v>336.24801936104609</v>
      </c>
      <c r="C54" s="33">
        <v>1</v>
      </c>
      <c r="D54" s="34">
        <v>120.81693918614545</v>
      </c>
      <c r="E54" s="34">
        <v>1001259302.551645</v>
      </c>
      <c r="G54" s="32"/>
      <c r="H54" s="32"/>
      <c r="I54" s="33"/>
      <c r="J54" s="34"/>
      <c r="K54" s="34"/>
    </row>
    <row r="55" spans="1:11" x14ac:dyDescent="0.35">
      <c r="A55" s="32">
        <v>2025.5855836155304</v>
      </c>
      <c r="B55" s="32">
        <v>352.85250997521274</v>
      </c>
      <c r="C55" s="33">
        <v>1</v>
      </c>
      <c r="D55" s="34">
        <v>131.80029729396776</v>
      </c>
      <c r="E55" s="34">
        <v>1052057340.3382238</v>
      </c>
      <c r="G55" s="32"/>
      <c r="H55" s="32"/>
      <c r="I55" s="33"/>
      <c r="J55" s="34"/>
      <c r="K55" s="34"/>
    </row>
    <row r="56" spans="1:11" x14ac:dyDescent="0.35">
      <c r="A56" s="32">
        <v>2247.404654066851</v>
      </c>
      <c r="B56" s="32">
        <v>366.91678534557792</v>
      </c>
      <c r="C56" s="33">
        <v>1</v>
      </c>
      <c r="D56" s="34">
        <v>142.78365540179007</v>
      </c>
      <c r="E56" s="34">
        <v>1109856961.540041</v>
      </c>
      <c r="G56" s="32"/>
      <c r="H56" s="32"/>
      <c r="I56" s="33"/>
      <c r="J56" s="34"/>
      <c r="K56" s="34"/>
    </row>
    <row r="57" spans="1:11" x14ac:dyDescent="0.35">
      <c r="A57" s="32">
        <v>2434.79629721125</v>
      </c>
      <c r="B57" s="32">
        <v>375.83375988639523</v>
      </c>
      <c r="C57" s="33">
        <v>1</v>
      </c>
      <c r="D57" s="34">
        <v>153.76701350961238</v>
      </c>
      <c r="E57" s="34">
        <v>1175501980.6028125</v>
      </c>
      <c r="G57" s="32"/>
      <c r="H57" s="32"/>
      <c r="I57" s="33"/>
      <c r="J57" s="34"/>
      <c r="K57" s="34"/>
    </row>
    <row r="58" spans="1:11" x14ac:dyDescent="0.35">
      <c r="A58" s="32">
        <v>2610.6542246905105</v>
      </c>
      <c r="B58" s="32">
        <v>381.89280476184302</v>
      </c>
      <c r="C58" s="33">
        <v>1</v>
      </c>
      <c r="D58" s="34">
        <v>164.75037161743469</v>
      </c>
      <c r="E58" s="34">
        <v>1249792747.8118181</v>
      </c>
      <c r="G58" s="32"/>
      <c r="H58" s="32"/>
      <c r="I58" s="33"/>
      <c r="J58" s="34"/>
      <c r="K58" s="34"/>
    </row>
    <row r="59" spans="1:11" x14ac:dyDescent="0.35">
      <c r="A59" s="32">
        <v>2786.5121521697711</v>
      </c>
      <c r="B59" s="32">
        <v>386.24729153843509</v>
      </c>
      <c r="C59" s="33">
        <v>1</v>
      </c>
      <c r="D59" s="34">
        <v>175.73372972525701</v>
      </c>
      <c r="E59" s="34">
        <v>1333498435.767014</v>
      </c>
      <c r="G59" s="32"/>
      <c r="H59" s="32"/>
      <c r="I59" s="33"/>
      <c r="J59" s="34"/>
      <c r="K59" s="34"/>
    </row>
    <row r="60" spans="1:11" x14ac:dyDescent="0.35">
      <c r="A60" s="32">
        <v>2962.3700796490316</v>
      </c>
      <c r="B60" s="32">
        <v>388.8972202161716</v>
      </c>
      <c r="C60" s="33">
        <v>1</v>
      </c>
      <c r="D60" s="34">
        <v>186.71708783307932</v>
      </c>
      <c r="E60" s="34">
        <v>1427365381.101532</v>
      </c>
      <c r="G60" s="32"/>
      <c r="H60" s="32"/>
      <c r="I60" s="33"/>
      <c r="J60" s="34"/>
      <c r="K60" s="34"/>
    </row>
    <row r="61" spans="1:11" x14ac:dyDescent="0.35">
      <c r="A61" s="32">
        <v>3138.228007128293</v>
      </c>
      <c r="B61" s="32">
        <v>389.84259079505233</v>
      </c>
      <c r="C61" s="33">
        <v>1</v>
      </c>
      <c r="D61" s="34">
        <v>197.70044594090163</v>
      </c>
      <c r="E61" s="34">
        <v>1532122884.0018277</v>
      </c>
      <c r="G61" s="32"/>
      <c r="H61" s="32"/>
      <c r="I61" s="33"/>
      <c r="J61" s="34"/>
      <c r="K61" s="34"/>
    </row>
    <row r="62" spans="1:11" x14ac:dyDescent="0.35">
      <c r="A62" s="32">
        <v>3364.6252391026301</v>
      </c>
      <c r="B62" s="32">
        <v>382.76599021319288</v>
      </c>
      <c r="C62" s="33">
        <v>1</v>
      </c>
      <c r="D62" s="34">
        <v>208.68380404872394</v>
      </c>
      <c r="E62" s="34">
        <v>1648487325.7167377</v>
      </c>
      <c r="G62" s="32"/>
      <c r="H62" s="32"/>
      <c r="I62" s="33"/>
      <c r="J62" s="34"/>
      <c r="K62" s="34"/>
    </row>
    <row r="63" spans="1:11" x14ac:dyDescent="0.35">
      <c r="A63" s="32">
        <v>3615.9562013571021</v>
      </c>
      <c r="B63" s="32">
        <v>370.86811524746076</v>
      </c>
      <c r="C63" s="33">
        <v>1</v>
      </c>
      <c r="D63" s="34">
        <v>219.66716215654625</v>
      </c>
      <c r="E63" s="34">
        <v>1777165146.944725</v>
      </c>
      <c r="G63" s="32"/>
      <c r="H63" s="32"/>
      <c r="I63" s="33"/>
      <c r="J63" s="34"/>
      <c r="K63" s="34"/>
    </row>
    <row r="64" spans="1:11" x14ac:dyDescent="0.35">
      <c r="A64" s="32">
        <v>3860.0992555377479</v>
      </c>
      <c r="B64" s="32">
        <v>358.16417069210132</v>
      </c>
      <c r="C64" s="33">
        <v>1</v>
      </c>
      <c r="D64" s="34">
        <v>230.65052026436857</v>
      </c>
      <c r="E64" s="34">
        <v>1918855038.5591249</v>
      </c>
      <c r="G64" s="32"/>
      <c r="H64" s="32"/>
      <c r="I64" s="33"/>
      <c r="J64" s="34"/>
      <c r="K64" s="34"/>
    </row>
    <row r="65" spans="1:11" x14ac:dyDescent="0.35">
      <c r="A65" s="32">
        <v>4098.0345709273615</v>
      </c>
      <c r="B65" s="32">
        <v>344.53163538676534</v>
      </c>
      <c r="C65" s="33">
        <v>1</v>
      </c>
      <c r="D65" s="34">
        <v>241.63387837219088</v>
      </c>
      <c r="E65" s="34">
        <v>2074249577.4339228</v>
      </c>
      <c r="G65" s="32"/>
      <c r="H65" s="32"/>
      <c r="I65" s="33"/>
      <c r="J65" s="34"/>
      <c r="K65" s="34"/>
    </row>
    <row r="66" spans="1:11" x14ac:dyDescent="0.35">
      <c r="A66" s="32">
        <v>4330.5718525856419</v>
      </c>
      <c r="B66" s="32">
        <v>329.86929619899024</v>
      </c>
      <c r="C66" s="33">
        <v>1</v>
      </c>
      <c r="D66" s="34">
        <v>252.61723648001319</v>
      </c>
      <c r="E66" s="34">
        <v>2244036464.7067022</v>
      </c>
      <c r="G66" s="32"/>
      <c r="H66" s="32"/>
      <c r="I66" s="33"/>
      <c r="J66" s="34"/>
      <c r="K66" s="34"/>
    </row>
    <row r="67" spans="1:11" x14ac:dyDescent="0.35">
      <c r="A67" s="32">
        <v>4558.3858547290056</v>
      </c>
      <c r="B67" s="32">
        <v>314.09280885172393</v>
      </c>
      <c r="C67" s="33">
        <v>1</v>
      </c>
      <c r="D67" s="34">
        <v>263.60059458783553</v>
      </c>
      <c r="E67" s="34">
        <v>2428899474.8157425</v>
      </c>
      <c r="G67" s="32"/>
      <c r="H67" s="32"/>
      <c r="I67" s="33"/>
      <c r="J67" s="34"/>
      <c r="K67" s="34"/>
    </row>
    <row r="68" spans="1:11" x14ac:dyDescent="0.35">
      <c r="A68" s="32">
        <v>4782.0433708992432</v>
      </c>
      <c r="B68" s="32">
        <v>297.13132415224288</v>
      </c>
      <c r="C68" s="33">
        <v>1</v>
      </c>
      <c r="D68" s="34">
        <v>274.58395269565784</v>
      </c>
      <c r="E68" s="34">
        <v>2629519191.1729226</v>
      </c>
      <c r="G68" s="32"/>
      <c r="H68" s="32"/>
      <c r="I68" s="33"/>
      <c r="J68" s="34"/>
      <c r="K68" s="34"/>
    </row>
    <row r="69" spans="1:11" x14ac:dyDescent="0.35">
      <c r="A69" s="32">
        <v>5002.0239956317137</v>
      </c>
      <c r="B69" s="32">
        <v>278.92489278362689</v>
      </c>
      <c r="C69" s="33">
        <v>1</v>
      </c>
      <c r="D69" s="34">
        <v>285.56731080348015</v>
      </c>
      <c r="E69" s="34">
        <v>2846573582.414916</v>
      </c>
      <c r="G69" s="32"/>
      <c r="H69" s="32"/>
      <c r="I69" s="33"/>
      <c r="J69" s="34"/>
      <c r="K69" s="34"/>
    </row>
    <row r="70" spans="1:11" x14ac:dyDescent="0.35">
      <c r="A70" s="32">
        <v>5218.7362724195036</v>
      </c>
      <c r="B70" s="32">
        <v>259.42244680924051</v>
      </c>
      <c r="C70" s="33">
        <v>1</v>
      </c>
      <c r="D70" s="34">
        <v>296.55066891130247</v>
      </c>
      <c r="E70" s="34">
        <v>3080738458.1325517</v>
      </c>
      <c r="G70" s="32"/>
      <c r="H70" s="32"/>
      <c r="I70" s="33"/>
      <c r="J70" s="34"/>
      <c r="K70" s="34"/>
    </row>
    <row r="71" spans="1:11" x14ac:dyDescent="0.35">
      <c r="A71" s="32">
        <v>5432.5303813995433</v>
      </c>
      <c r="B71" s="32">
        <v>238.58021371196719</v>
      </c>
      <c r="C71" s="33">
        <v>1</v>
      </c>
      <c r="D71" s="34">
        <v>307.53402701912478</v>
      </c>
      <c r="E71" s="34">
        <v>3206982095.0336142</v>
      </c>
      <c r="G71" s="32"/>
      <c r="H71" s="32"/>
      <c r="I71" s="33"/>
      <c r="J71" s="34"/>
      <c r="K71" s="34"/>
    </row>
    <row r="72" spans="1:11" x14ac:dyDescent="0.35">
      <c r="A72" s="32">
        <v>5643.7082020002181</v>
      </c>
      <c r="B72" s="32">
        <v>216.36045856325853</v>
      </c>
      <c r="C72" s="33">
        <v>1</v>
      </c>
      <c r="D72" s="34">
        <v>318.51738512694709</v>
      </c>
      <c r="E72" s="34">
        <v>3477090209.1170282</v>
      </c>
      <c r="G72" s="32"/>
      <c r="H72" s="32"/>
      <c r="I72" s="33"/>
      <c r="J72" s="34"/>
      <c r="K72" s="34"/>
    </row>
    <row r="73" spans="1:11" x14ac:dyDescent="0.35">
      <c r="A73" s="32">
        <v>5852.5315000000001</v>
      </c>
      <c r="B73" s="32">
        <v>192.73047775859425</v>
      </c>
      <c r="C73" s="33">
        <v>1</v>
      </c>
      <c r="D73" s="34">
        <v>329.50074323466947</v>
      </c>
      <c r="E73" s="34">
        <v>3766345123.0342383</v>
      </c>
      <c r="G73" s="32"/>
      <c r="H73" s="32"/>
      <c r="I73" s="33"/>
      <c r="J73" s="34"/>
      <c r="K73" s="34"/>
    </row>
    <row r="74" spans="1:11" x14ac:dyDescent="0.35">
      <c r="A74" s="32">
        <v>5852.5315000000001</v>
      </c>
      <c r="B74" s="32">
        <v>0</v>
      </c>
      <c r="C74" s="33">
        <v>1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E1:H2"/>
    <mergeCell ref="E3:H4"/>
    <mergeCell ref="A1:C2"/>
  </mergeCells>
  <hyperlinks>
    <hyperlink ref="B3" r:id="rId1" display="WeldGroup" xr:uid="{F5CB6643-44BF-473F-8651-A764A53178C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CF4D5-AAE5-42A6-9D9A-D7068A4E5E0F}">
  <dimension ref="A1:K76"/>
  <sheetViews>
    <sheetView tabSelected="1" workbookViewId="0">
      <selection sqref="A1:K1048576"/>
    </sheetView>
  </sheetViews>
  <sheetFormatPr defaultRowHeight="14.5" x14ac:dyDescent="0.35"/>
  <cols>
    <col min="1" max="2" width="7" customWidth="1"/>
    <col min="3" max="3" width="5.81640625" customWidth="1"/>
    <col min="4" max="4" width="7.453125" customWidth="1"/>
    <col min="5" max="9" width="7" customWidth="1"/>
    <col min="10" max="10" width="8.453125" customWidth="1"/>
    <col min="11" max="11" width="7" customWidth="1"/>
  </cols>
  <sheetData>
    <row r="1" spans="1:11" x14ac:dyDescent="0.35">
      <c r="A1" s="41" t="str">
        <f>IF([4]Input!A1="","",[4]Input!A1)</f>
        <v/>
      </c>
      <c r="B1" s="36"/>
      <c r="C1" s="42"/>
      <c r="D1" s="2" t="s">
        <v>0</v>
      </c>
      <c r="E1" s="35" t="str">
        <f>IF([4]Input!E1="","",[4]Input!E1)</f>
        <v>OLN PTUS</v>
      </c>
      <c r="F1" s="36"/>
      <c r="G1" s="36"/>
      <c r="H1" s="36"/>
      <c r="I1" s="2" t="s">
        <v>1</v>
      </c>
      <c r="J1" s="3" t="str">
        <f>IF([4]Input!K1="","",[4]Input!K1)</f>
        <v/>
      </c>
      <c r="K1" s="4"/>
    </row>
    <row r="2" spans="1:11" x14ac:dyDescent="0.35">
      <c r="A2" s="43"/>
      <c r="B2" s="37"/>
      <c r="C2" s="44"/>
      <c r="D2" s="5"/>
      <c r="E2" s="37"/>
      <c r="F2" s="37"/>
      <c r="G2" s="37"/>
      <c r="H2" s="37"/>
      <c r="I2" s="6" t="s">
        <v>2</v>
      </c>
      <c r="J2" s="7">
        <f ca="1">NOW()</f>
        <v>46155.397002314814</v>
      </c>
      <c r="K2" s="8"/>
    </row>
    <row r="3" spans="1:11" x14ac:dyDescent="0.35">
      <c r="A3" s="9"/>
      <c r="B3" s="1" t="s">
        <v>3</v>
      </c>
      <c r="C3" s="10"/>
      <c r="D3" s="11" t="s">
        <v>4</v>
      </c>
      <c r="E3" s="38" t="str">
        <f>IF([4]Input!E3="","",[4]Input!E3)</f>
        <v>Bain Adit - Final Lining</v>
      </c>
      <c r="F3" s="39"/>
      <c r="G3" s="39"/>
      <c r="H3" s="39"/>
      <c r="I3" s="11" t="s">
        <v>5</v>
      </c>
      <c r="J3" s="12" t="str">
        <f>IF([4]Input!K3="","",[4]Input!K3)</f>
        <v/>
      </c>
      <c r="K3" s="13"/>
    </row>
    <row r="4" spans="1:11" ht="15" thickBot="1" x14ac:dyDescent="0.4">
      <c r="A4" s="14"/>
      <c r="B4" s="15">
        <f>[4]Input!B4</f>
        <v>2021.04</v>
      </c>
      <c r="C4" s="16"/>
      <c r="D4" s="17"/>
      <c r="E4" s="40"/>
      <c r="F4" s="40"/>
      <c r="G4" s="40"/>
      <c r="H4" s="40"/>
      <c r="I4" s="18" t="s">
        <v>2</v>
      </c>
      <c r="J4" s="19">
        <f>IF([4]Input!K4="","",[4]Input!K4)</f>
        <v>46154.380860763886</v>
      </c>
      <c r="K4" s="20"/>
    </row>
    <row r="6" spans="1:11" ht="19" x14ac:dyDescent="0.5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3"/>
    </row>
    <row r="8" spans="1:11" ht="68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1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1" x14ac:dyDescent="0.35">
      <c r="A10" s="32">
        <v>-1000</v>
      </c>
      <c r="B10" s="32">
        <v>29.749999999682494</v>
      </c>
      <c r="C10" s="33">
        <v>1</v>
      </c>
      <c r="D10" s="34">
        <v>1E-10</v>
      </c>
      <c r="E10" s="34">
        <v>202882626.40680873</v>
      </c>
      <c r="G10" s="32"/>
      <c r="H10" s="32"/>
      <c r="I10" s="33"/>
      <c r="J10" s="34"/>
      <c r="K10" s="34"/>
    </row>
    <row r="11" spans="1:11" x14ac:dyDescent="0.35">
      <c r="A11" s="32">
        <v>-678.10549788455592</v>
      </c>
      <c r="B11" s="32">
        <v>0.48275734788999713</v>
      </c>
      <c r="C11" s="33">
        <v>1</v>
      </c>
      <c r="D11" s="34">
        <v>10.735818967970021</v>
      </c>
      <c r="E11" s="34">
        <v>331061799.61240101</v>
      </c>
      <c r="G11" s="32"/>
      <c r="H11" s="32"/>
      <c r="I11" s="33"/>
      <c r="J11" s="34"/>
      <c r="K11" s="34"/>
    </row>
    <row r="12" spans="1:11" x14ac:dyDescent="0.35">
      <c r="A12" s="32">
        <v>-506.21099577071288</v>
      </c>
      <c r="B12" s="32">
        <v>-27.15589486778476</v>
      </c>
      <c r="C12" s="33">
        <v>1</v>
      </c>
      <c r="D12" s="34">
        <v>21.471637935840043</v>
      </c>
      <c r="E12" s="34">
        <v>387813100.94031465</v>
      </c>
      <c r="G12" s="32"/>
      <c r="H12" s="32"/>
      <c r="I12" s="33"/>
      <c r="J12" s="34"/>
      <c r="K12" s="34"/>
    </row>
    <row r="13" spans="1:11" x14ac:dyDescent="0.35">
      <c r="A13" s="32">
        <v>-334.31649365686997</v>
      </c>
      <c r="B13" s="32">
        <v>-53.165956647304412</v>
      </c>
      <c r="C13" s="33">
        <v>1</v>
      </c>
      <c r="D13" s="34">
        <v>32.207456903710067</v>
      </c>
      <c r="E13" s="34">
        <v>421202467.4568544</v>
      </c>
      <c r="G13" s="32"/>
      <c r="H13" s="32"/>
      <c r="I13" s="33"/>
      <c r="J13" s="34"/>
      <c r="K13" s="34"/>
    </row>
    <row r="14" spans="1:11" x14ac:dyDescent="0.35">
      <c r="A14" s="32">
        <v>175.03503905242951</v>
      </c>
      <c r="B14" s="32">
        <v>-119.72955681510109</v>
      </c>
      <c r="C14" s="33">
        <v>1</v>
      </c>
      <c r="D14" s="34">
        <v>42.943275871580084</v>
      </c>
      <c r="E14" s="34">
        <v>445132672.81477141</v>
      </c>
      <c r="G14" s="32"/>
      <c r="H14" s="32"/>
      <c r="I14" s="33"/>
      <c r="J14" s="34"/>
      <c r="K14" s="34"/>
    </row>
    <row r="15" spans="1:11" x14ac:dyDescent="0.35">
      <c r="A15" s="32">
        <v>591.43813504672551</v>
      </c>
      <c r="B15" s="32">
        <v>-173.04601195736726</v>
      </c>
      <c r="C15" s="33">
        <v>1</v>
      </c>
      <c r="D15" s="34">
        <v>53.679094839450102</v>
      </c>
      <c r="E15" s="34">
        <v>464969049.47198153</v>
      </c>
      <c r="G15" s="32"/>
      <c r="H15" s="32"/>
      <c r="I15" s="33"/>
      <c r="J15" s="34"/>
      <c r="K15" s="34"/>
    </row>
    <row r="16" spans="1:11" x14ac:dyDescent="0.35">
      <c r="A16" s="32">
        <v>899.12367891433053</v>
      </c>
      <c r="B16" s="32">
        <v>-211.144182647642</v>
      </c>
      <c r="C16" s="33">
        <v>1</v>
      </c>
      <c r="D16" s="34">
        <v>64.414913807320119</v>
      </c>
      <c r="E16" s="34">
        <v>484376593.92304575</v>
      </c>
      <c r="G16" s="32"/>
      <c r="H16" s="32"/>
      <c r="I16" s="33"/>
      <c r="J16" s="34"/>
      <c r="K16" s="34"/>
    </row>
    <row r="17" spans="1:11" x14ac:dyDescent="0.35">
      <c r="A17" s="32">
        <v>1187.4508447809224</v>
      </c>
      <c r="B17" s="32">
        <v>-245.19396565163498</v>
      </c>
      <c r="C17" s="33">
        <v>1</v>
      </c>
      <c r="D17" s="34">
        <v>75.150732775190136</v>
      </c>
      <c r="E17" s="34">
        <v>505114064.52648211</v>
      </c>
      <c r="G17" s="32"/>
      <c r="H17" s="32"/>
      <c r="I17" s="33"/>
      <c r="J17" s="34"/>
      <c r="K17" s="34"/>
    </row>
    <row r="18" spans="1:11" x14ac:dyDescent="0.35">
      <c r="A18" s="32">
        <v>1446.6698447093609</v>
      </c>
      <c r="B18" s="32">
        <v>-273.97663747720372</v>
      </c>
      <c r="C18" s="33">
        <v>1</v>
      </c>
      <c r="D18" s="34">
        <v>85.886551743060153</v>
      </c>
      <c r="E18" s="34">
        <v>528559178.79010212</v>
      </c>
      <c r="G18" s="32"/>
      <c r="H18" s="32"/>
      <c r="I18" s="33"/>
      <c r="J18" s="34"/>
      <c r="K18" s="34"/>
    </row>
    <row r="19" spans="1:11" x14ac:dyDescent="0.35">
      <c r="A19" s="32">
        <v>1686.4834006790206</v>
      </c>
      <c r="B19" s="32">
        <v>-298.70503837177012</v>
      </c>
      <c r="C19" s="33">
        <v>1</v>
      </c>
      <c r="D19" s="34">
        <v>96.62237071093017</v>
      </c>
      <c r="E19" s="34">
        <v>555798160.53807986</v>
      </c>
      <c r="G19" s="32"/>
      <c r="H19" s="32"/>
      <c r="I19" s="33"/>
      <c r="J19" s="34"/>
      <c r="K19" s="34"/>
    </row>
    <row r="20" spans="1:11" x14ac:dyDescent="0.35">
      <c r="A20" s="32">
        <v>1861.7303336400303</v>
      </c>
      <c r="B20" s="32">
        <v>-313.73402095410012</v>
      </c>
      <c r="C20" s="33">
        <v>1</v>
      </c>
      <c r="D20" s="34">
        <v>107.35818967880019</v>
      </c>
      <c r="E20" s="34">
        <v>587753412.75136352</v>
      </c>
      <c r="G20" s="32"/>
      <c r="H20" s="32"/>
      <c r="I20" s="33"/>
      <c r="J20" s="34"/>
      <c r="K20" s="34"/>
    </row>
    <row r="21" spans="1:11" x14ac:dyDescent="0.35">
      <c r="A21" s="32">
        <v>2033.624835753873</v>
      </c>
      <c r="B21" s="32">
        <v>-326.71535924437921</v>
      </c>
      <c r="C21" s="33">
        <v>1</v>
      </c>
      <c r="D21" s="34">
        <v>118.0940086466702</v>
      </c>
      <c r="E21" s="34">
        <v>625249491.09609127</v>
      </c>
      <c r="G21" s="32"/>
      <c r="H21" s="32"/>
      <c r="I21" s="33"/>
      <c r="J21" s="34"/>
      <c r="K21" s="34"/>
    </row>
    <row r="22" spans="1:11" x14ac:dyDescent="0.35">
      <c r="A22" s="32">
        <v>2205.5193378677163</v>
      </c>
      <c r="B22" s="32">
        <v>-338.06810709850328</v>
      </c>
      <c r="C22" s="33">
        <v>1</v>
      </c>
      <c r="D22" s="34">
        <v>128.82982761454022</v>
      </c>
      <c r="E22" s="34">
        <v>669049571.52569485</v>
      </c>
      <c r="G22" s="32"/>
      <c r="H22" s="32"/>
      <c r="I22" s="33"/>
      <c r="J22" s="34"/>
      <c r="K22" s="34"/>
    </row>
    <row r="23" spans="1:11" x14ac:dyDescent="0.35">
      <c r="A23" s="32">
        <v>2377.4138399815592</v>
      </c>
      <c r="B23" s="32">
        <v>-347.7922645164723</v>
      </c>
      <c r="C23" s="33">
        <v>1</v>
      </c>
      <c r="D23" s="34">
        <v>139.56564658241024</v>
      </c>
      <c r="E23" s="34">
        <v>719876739.54434752</v>
      </c>
      <c r="G23" s="32"/>
      <c r="H23" s="32"/>
      <c r="I23" s="33"/>
      <c r="J23" s="34"/>
      <c r="K23" s="34"/>
    </row>
    <row r="24" spans="1:11" x14ac:dyDescent="0.35">
      <c r="A24" s="32">
        <v>2549.3083420954017</v>
      </c>
      <c r="B24" s="32">
        <v>-355.88783149828612</v>
      </c>
      <c r="C24" s="33">
        <v>1</v>
      </c>
      <c r="D24" s="34">
        <v>150.30146555028026</v>
      </c>
      <c r="E24" s="34">
        <v>778426993.37261808</v>
      </c>
      <c r="G24" s="32"/>
      <c r="H24" s="32"/>
      <c r="I24" s="33"/>
      <c r="J24" s="34"/>
      <c r="K24" s="34"/>
    </row>
    <row r="25" spans="1:11" x14ac:dyDescent="0.35">
      <c r="A25" s="32">
        <v>2721.2028442092451</v>
      </c>
      <c r="B25" s="32">
        <v>-362.35480804394501</v>
      </c>
      <c r="C25" s="33">
        <v>1</v>
      </c>
      <c r="D25" s="34">
        <v>161.03728451815027</v>
      </c>
      <c r="E25" s="34">
        <v>845377494.39267147</v>
      </c>
      <c r="G25" s="32"/>
      <c r="H25" s="32"/>
      <c r="I25" s="33"/>
      <c r="J25" s="34"/>
      <c r="K25" s="34"/>
    </row>
    <row r="26" spans="1:11" x14ac:dyDescent="0.35">
      <c r="A26" s="32">
        <v>2893.097346323088</v>
      </c>
      <c r="B26" s="32">
        <v>-367.19319415344876</v>
      </c>
      <c r="C26" s="33">
        <v>1</v>
      </c>
      <c r="D26" s="34">
        <v>171.77310348602029</v>
      </c>
      <c r="E26" s="34">
        <v>921391975.16886115</v>
      </c>
      <c r="G26" s="32"/>
      <c r="H26" s="32"/>
      <c r="I26" s="33"/>
      <c r="J26" s="34"/>
      <c r="K26" s="34"/>
    </row>
    <row r="27" spans="1:11" x14ac:dyDescent="0.35">
      <c r="A27" s="32">
        <v>3064.9918484369309</v>
      </c>
      <c r="B27" s="32">
        <v>-370.40298982679747</v>
      </c>
      <c r="C27" s="33">
        <v>1</v>
      </c>
      <c r="D27" s="34">
        <v>182.50892245389031</v>
      </c>
      <c r="E27" s="34">
        <v>1007124385.4819584</v>
      </c>
      <c r="G27" s="32"/>
      <c r="H27" s="32"/>
      <c r="I27" s="33"/>
      <c r="J27" s="34"/>
      <c r="K27" s="34"/>
    </row>
    <row r="28" spans="1:11" x14ac:dyDescent="0.35">
      <c r="A28" s="32">
        <v>3280.7402273304524</v>
      </c>
      <c r="B28" s="32">
        <v>-367.59880738602317</v>
      </c>
      <c r="C28" s="33">
        <v>1</v>
      </c>
      <c r="D28" s="34">
        <v>193.24474142176032</v>
      </c>
      <c r="E28" s="34">
        <v>1103221411.6328468</v>
      </c>
      <c r="G28" s="32"/>
      <c r="H28" s="32"/>
      <c r="I28" s="33"/>
      <c r="J28" s="34"/>
      <c r="K28" s="34"/>
    </row>
    <row r="29" spans="1:11" x14ac:dyDescent="0.35">
      <c r="A29" s="32">
        <v>3505.0634727716547</v>
      </c>
      <c r="B29" s="32">
        <v>-362.30854785432581</v>
      </c>
      <c r="C29" s="33">
        <v>1</v>
      </c>
      <c r="D29" s="34">
        <v>203.98056038963034</v>
      </c>
      <c r="E29" s="34">
        <v>1210324255.3425329</v>
      </c>
      <c r="G29" s="32"/>
      <c r="H29" s="32"/>
      <c r="I29" s="33"/>
      <c r="J29" s="34"/>
      <c r="K29" s="34"/>
    </row>
    <row r="30" spans="1:11" x14ac:dyDescent="0.35">
      <c r="A30" s="32">
        <v>3724.1438438801229</v>
      </c>
      <c r="B30" s="32">
        <v>-355.9139853197467</v>
      </c>
      <c r="C30" s="33">
        <v>1</v>
      </c>
      <c r="D30" s="34">
        <v>214.71637935750036</v>
      </c>
      <c r="E30" s="34">
        <v>1329069914.2596164</v>
      </c>
      <c r="G30" s="32"/>
      <c r="H30" s="32"/>
      <c r="I30" s="33"/>
      <c r="J30" s="34"/>
      <c r="K30" s="34"/>
    </row>
    <row r="31" spans="1:11" x14ac:dyDescent="0.35">
      <c r="A31" s="32">
        <v>3938.7303227033922</v>
      </c>
      <c r="B31" s="32">
        <v>-348.34022157753253</v>
      </c>
      <c r="C31" s="33">
        <v>1</v>
      </c>
      <c r="D31" s="34">
        <v>225.45219832537038</v>
      </c>
      <c r="E31" s="34">
        <v>1460092119.7141545</v>
      </c>
      <c r="G31" s="32"/>
      <c r="H31" s="32"/>
      <c r="I31" s="33"/>
      <c r="J31" s="34"/>
      <c r="K31" s="34"/>
    </row>
    <row r="32" spans="1:11" x14ac:dyDescent="0.35">
      <c r="A32" s="32">
        <v>4149.4357127348958</v>
      </c>
      <c r="B32" s="32">
        <v>-339.52597627833973</v>
      </c>
      <c r="C32" s="33">
        <v>1</v>
      </c>
      <c r="D32" s="34">
        <v>236.18801729324039</v>
      </c>
      <c r="E32" s="34">
        <v>1604022034.1825128</v>
      </c>
      <c r="G32" s="32"/>
      <c r="H32" s="32"/>
      <c r="I32" s="33"/>
      <c r="J32" s="34"/>
      <c r="K32" s="34"/>
    </row>
    <row r="33" spans="1:11" x14ac:dyDescent="0.35">
      <c r="A33" s="32">
        <v>4356.7662429474749</v>
      </c>
      <c r="B33" s="32">
        <v>-329.42062652488448</v>
      </c>
      <c r="C33" s="33">
        <v>1</v>
      </c>
      <c r="D33" s="34">
        <v>246.92383626111041</v>
      </c>
      <c r="E33" s="34">
        <v>1761488777.3544054</v>
      </c>
      <c r="G33" s="32"/>
      <c r="H33" s="32"/>
      <c r="I33" s="33"/>
      <c r="J33" s="34"/>
      <c r="K33" s="34"/>
    </row>
    <row r="34" spans="1:11" x14ac:dyDescent="0.35">
      <c r="A34" s="32">
        <v>4561.143770818494</v>
      </c>
      <c r="B34" s="32">
        <v>-317.98198656943009</v>
      </c>
      <c r="C34" s="33">
        <v>1</v>
      </c>
      <c r="D34" s="34">
        <v>257.65965522898045</v>
      </c>
      <c r="E34" s="34">
        <v>1933119828.0086443</v>
      </c>
      <c r="G34" s="32"/>
      <c r="H34" s="32"/>
      <c r="I34" s="33"/>
      <c r="J34" s="34"/>
      <c r="K34" s="34"/>
    </row>
    <row r="35" spans="1:11" x14ac:dyDescent="0.35">
      <c r="A35" s="32">
        <v>4762.9226566289399</v>
      </c>
      <c r="B35" s="32">
        <v>-305.17462038387799</v>
      </c>
      <c r="C35" s="33">
        <v>1</v>
      </c>
      <c r="D35" s="34">
        <v>268.3954741968505</v>
      </c>
      <c r="E35" s="34">
        <v>2119541334.607599</v>
      </c>
      <c r="G35" s="32"/>
      <c r="H35" s="32"/>
      <c r="I35" s="33"/>
      <c r="J35" s="34"/>
      <c r="K35" s="34"/>
    </row>
    <row r="36" spans="1:11" x14ac:dyDescent="0.35">
      <c r="A36" s="32">
        <v>4962.4027436934939</v>
      </c>
      <c r="B36" s="32">
        <v>-290.96854363675999</v>
      </c>
      <c r="C36" s="33">
        <v>1</v>
      </c>
      <c r="D36" s="34">
        <v>279.13129316472055</v>
      </c>
      <c r="E36" s="34">
        <v>2249679190.5818486</v>
      </c>
      <c r="G36" s="32"/>
      <c r="H36" s="32"/>
      <c r="I36" s="33"/>
      <c r="J36" s="34"/>
      <c r="K36" s="34"/>
    </row>
    <row r="37" spans="1:11" x14ac:dyDescent="0.35">
      <c r="A37" s="32">
        <v>5159.8394540950321</v>
      </c>
      <c r="B37" s="32">
        <v>-275.33821411978835</v>
      </c>
      <c r="C37" s="33">
        <v>1</v>
      </c>
      <c r="D37" s="34">
        <v>289.86711213259059</v>
      </c>
      <c r="E37" s="34">
        <v>2467419306.2927527</v>
      </c>
      <c r="G37" s="32"/>
      <c r="H37" s="32"/>
      <c r="I37" s="33"/>
      <c r="J37" s="34"/>
      <c r="K37" s="34"/>
    </row>
    <row r="38" spans="1:11" x14ac:dyDescent="0.35">
      <c r="A38" s="32">
        <v>5355.4517210474514</v>
      </c>
      <c r="B38" s="32">
        <v>-258.26173851157364</v>
      </c>
      <c r="C38" s="33">
        <v>1</v>
      </c>
      <c r="D38" s="34">
        <v>300.60293110046064</v>
      </c>
      <c r="E38" s="34">
        <v>2701831707.7713375</v>
      </c>
      <c r="G38" s="32"/>
      <c r="H38" s="32"/>
      <c r="I38" s="33"/>
      <c r="J38" s="34"/>
      <c r="K38" s="34"/>
    </row>
    <row r="39" spans="1:11" x14ac:dyDescent="0.35">
      <c r="A39" s="32">
        <v>5549.4282800799692</v>
      </c>
      <c r="B39" s="32">
        <v>-239.72024325919404</v>
      </c>
      <c r="C39" s="33">
        <v>1</v>
      </c>
      <c r="D39" s="34">
        <v>311.33875006833068</v>
      </c>
      <c r="E39" s="34">
        <v>2953538297.8366585</v>
      </c>
      <c r="G39" s="32"/>
      <c r="H39" s="32"/>
      <c r="I39" s="33"/>
      <c r="J39" s="34"/>
      <c r="K39" s="34"/>
    </row>
    <row r="40" spans="1:11" x14ac:dyDescent="0.35">
      <c r="A40" s="32">
        <v>5723.7887499999997</v>
      </c>
      <c r="B40" s="32">
        <v>-221.51168378364409</v>
      </c>
      <c r="C40" s="33">
        <v>1</v>
      </c>
      <c r="D40" s="34">
        <v>322.07456903610063</v>
      </c>
      <c r="E40" s="34">
        <v>3223160569.4613647</v>
      </c>
      <c r="G40" s="32"/>
      <c r="H40" s="32"/>
      <c r="I40" s="33"/>
      <c r="J40" s="34"/>
      <c r="K40" s="34"/>
    </row>
    <row r="41" spans="1:11" x14ac:dyDescent="0.35">
      <c r="A41" s="32">
        <v>5723.7887499999997</v>
      </c>
      <c r="B41" s="32">
        <v>0</v>
      </c>
      <c r="C41" s="33">
        <v>1</v>
      </c>
      <c r="D41" s="34"/>
      <c r="E41" s="34"/>
      <c r="G41" s="32"/>
      <c r="H41" s="32"/>
      <c r="I41" s="33"/>
      <c r="J41" s="34"/>
      <c r="K41" s="34"/>
    </row>
    <row r="42" spans="1:11" x14ac:dyDescent="0.35">
      <c r="A42" s="32"/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 s="32">
        <v>-1000</v>
      </c>
      <c r="B43" s="32">
        <v>29.750000000317506</v>
      </c>
      <c r="C43" s="33">
        <v>1</v>
      </c>
      <c r="D43" s="34">
        <v>1E-10</v>
      </c>
      <c r="E43" s="34">
        <v>202882626.40958491</v>
      </c>
      <c r="G43" s="32"/>
      <c r="H43" s="32"/>
      <c r="I43" s="33"/>
      <c r="J43" s="34"/>
      <c r="K43" s="34"/>
    </row>
    <row r="44" spans="1:11" x14ac:dyDescent="0.35">
      <c r="A44" s="32">
        <v>-673.23308375668842</v>
      </c>
      <c r="B44" s="32">
        <v>59.823097863936241</v>
      </c>
      <c r="C44" s="33">
        <v>1</v>
      </c>
      <c r="D44" s="34">
        <v>11.040129782859458</v>
      </c>
      <c r="E44" s="34">
        <v>496083831.10646188</v>
      </c>
      <c r="G44" s="32"/>
      <c r="H44" s="32"/>
      <c r="I44" s="33"/>
      <c r="J44" s="34"/>
      <c r="K44" s="34"/>
    </row>
    <row r="45" spans="1:11" x14ac:dyDescent="0.35">
      <c r="A45" s="32">
        <v>-496.46616751497805</v>
      </c>
      <c r="B45" s="32">
        <v>88.173970770336894</v>
      </c>
      <c r="C45" s="33">
        <v>1</v>
      </c>
      <c r="D45" s="34">
        <v>22.080259565618917</v>
      </c>
      <c r="E45" s="34">
        <v>623074227.48904693</v>
      </c>
      <c r="G45" s="32"/>
      <c r="H45" s="32"/>
      <c r="I45" s="33"/>
      <c r="J45" s="34"/>
      <c r="K45" s="34"/>
    </row>
    <row r="46" spans="1:11" x14ac:dyDescent="0.35">
      <c r="A46" s="32">
        <v>-319.69925127326758</v>
      </c>
      <c r="B46" s="32">
        <v>114.8026187194822</v>
      </c>
      <c r="C46" s="33">
        <v>1</v>
      </c>
      <c r="D46" s="34">
        <v>33.120389348378374</v>
      </c>
      <c r="E46" s="34">
        <v>695474267.7629869</v>
      </c>
      <c r="G46" s="32"/>
      <c r="H46" s="32"/>
      <c r="I46" s="33"/>
      <c r="J46" s="34"/>
      <c r="K46" s="34"/>
    </row>
    <row r="47" spans="1:11" x14ac:dyDescent="0.35">
      <c r="A47" s="32">
        <v>-142.93233503155716</v>
      </c>
      <c r="B47" s="32">
        <v>139.70904171137212</v>
      </c>
      <c r="C47" s="33">
        <v>1</v>
      </c>
      <c r="D47" s="34">
        <v>44.160519131137832</v>
      </c>
      <c r="E47" s="34">
        <v>744398128.68315792</v>
      </c>
      <c r="G47" s="32"/>
      <c r="H47" s="32"/>
      <c r="I47" s="33"/>
      <c r="J47" s="34"/>
      <c r="K47" s="34"/>
    </row>
    <row r="48" spans="1:11" x14ac:dyDescent="0.35">
      <c r="A48" s="32">
        <v>122.75880523711714</v>
      </c>
      <c r="B48" s="32">
        <v>171.78566214870307</v>
      </c>
      <c r="C48" s="33">
        <v>1</v>
      </c>
      <c r="D48" s="34">
        <v>55.20064891389729</v>
      </c>
      <c r="E48" s="34">
        <v>782262784.65442228</v>
      </c>
      <c r="G48" s="32"/>
      <c r="H48" s="32"/>
      <c r="I48" s="33"/>
      <c r="J48" s="34"/>
      <c r="K48" s="34"/>
    </row>
    <row r="49" spans="1:11" x14ac:dyDescent="0.35">
      <c r="A49" s="32">
        <v>458.03835080742761</v>
      </c>
      <c r="B49" s="32">
        <v>209.09889815894226</v>
      </c>
      <c r="C49" s="33">
        <v>1</v>
      </c>
      <c r="D49" s="34">
        <v>66.240778696656747</v>
      </c>
      <c r="E49" s="34">
        <v>815232074.85900509</v>
      </c>
      <c r="G49" s="32"/>
      <c r="H49" s="32"/>
      <c r="I49" s="33"/>
      <c r="J49" s="34"/>
      <c r="K49" s="34"/>
    </row>
    <row r="50" spans="1:11" x14ac:dyDescent="0.35">
      <c r="A50" s="32">
        <v>748.02857371248251</v>
      </c>
      <c r="B50" s="32">
        <v>240.16097694540053</v>
      </c>
      <c r="C50" s="33">
        <v>1</v>
      </c>
      <c r="D50" s="34">
        <v>77.280908479416212</v>
      </c>
      <c r="E50" s="34">
        <v>845454041.59143162</v>
      </c>
      <c r="G50" s="32"/>
      <c r="H50" s="32"/>
      <c r="I50" s="33"/>
      <c r="J50" s="34"/>
      <c r="K50" s="34"/>
    </row>
    <row r="51" spans="1:11" x14ac:dyDescent="0.35">
      <c r="A51" s="32">
        <v>991.56984495173367</v>
      </c>
      <c r="B51" s="32">
        <v>264.855935608023</v>
      </c>
      <c r="C51" s="33">
        <v>1</v>
      </c>
      <c r="D51" s="34">
        <v>88.321038262175676</v>
      </c>
      <c r="E51" s="34">
        <v>877847056.22008729</v>
      </c>
      <c r="G51" s="32"/>
      <c r="H51" s="32"/>
      <c r="I51" s="33"/>
      <c r="J51" s="34"/>
      <c r="K51" s="34"/>
    </row>
    <row r="52" spans="1:11" x14ac:dyDescent="0.35">
      <c r="A52" s="32">
        <v>1234.383690080439</v>
      </c>
      <c r="B52" s="32">
        <v>287.75592670233556</v>
      </c>
      <c r="C52" s="33">
        <v>1</v>
      </c>
      <c r="D52" s="34">
        <v>99.361168044935141</v>
      </c>
      <c r="E52" s="34">
        <v>913042951.09150672</v>
      </c>
      <c r="G52" s="32"/>
      <c r="H52" s="32"/>
      <c r="I52" s="33"/>
      <c r="J52" s="34"/>
      <c r="K52" s="34"/>
    </row>
    <row r="53" spans="1:11" x14ac:dyDescent="0.35">
      <c r="A53" s="32">
        <v>1463.9881494317572</v>
      </c>
      <c r="B53" s="32">
        <v>307.612754261654</v>
      </c>
      <c r="C53" s="33">
        <v>1</v>
      </c>
      <c r="D53" s="34">
        <v>110.40129782769461</v>
      </c>
      <c r="E53" s="34">
        <v>952392076.08682919</v>
      </c>
      <c r="G53" s="32"/>
      <c r="H53" s="32"/>
      <c r="I53" s="33"/>
      <c r="J53" s="34"/>
      <c r="K53" s="34"/>
    </row>
    <row r="54" spans="1:11" x14ac:dyDescent="0.35">
      <c r="A54" s="32">
        <v>1683.9857827631547</v>
      </c>
      <c r="B54" s="32">
        <v>324.78667426172501</v>
      </c>
      <c r="C54" s="33">
        <v>1</v>
      </c>
      <c r="D54" s="34">
        <v>121.44142761045407</v>
      </c>
      <c r="E54" s="34">
        <v>997026605.52842236</v>
      </c>
      <c r="G54" s="32"/>
      <c r="H54" s="32"/>
      <c r="I54" s="33"/>
      <c r="J54" s="34"/>
      <c r="K54" s="34"/>
    </row>
    <row r="55" spans="1:11" x14ac:dyDescent="0.35">
      <c r="A55" s="32">
        <v>1896.77829657961</v>
      </c>
      <c r="B55" s="32">
        <v>339.51785735304645</v>
      </c>
      <c r="C55" s="33">
        <v>1</v>
      </c>
      <c r="D55" s="34">
        <v>132.48155739321354</v>
      </c>
      <c r="E55" s="34">
        <v>1047941814.0302548</v>
      </c>
      <c r="G55" s="32"/>
      <c r="H55" s="32"/>
      <c r="I55" s="33"/>
      <c r="J55" s="34"/>
      <c r="K55" s="34"/>
    </row>
    <row r="56" spans="1:11" x14ac:dyDescent="0.35">
      <c r="A56" s="32">
        <v>2104.0284107691855</v>
      </c>
      <c r="B56" s="32">
        <v>351.97257552442449</v>
      </c>
      <c r="C56" s="33">
        <v>1</v>
      </c>
      <c r="D56" s="34">
        <v>143.521687175973</v>
      </c>
      <c r="E56" s="34">
        <v>1106043538.877383</v>
      </c>
      <c r="G56" s="32"/>
      <c r="H56" s="32"/>
      <c r="I56" s="33"/>
      <c r="J56" s="34"/>
      <c r="K56" s="34"/>
    </row>
    <row r="57" spans="1:11" x14ac:dyDescent="0.35">
      <c r="A57" s="32">
        <v>2286.5937023855481</v>
      </c>
      <c r="B57" s="32">
        <v>360.23658648122591</v>
      </c>
      <c r="C57" s="33">
        <v>1</v>
      </c>
      <c r="D57" s="34">
        <v>154.56181695873246</v>
      </c>
      <c r="E57" s="34">
        <v>1172177176.8502381</v>
      </c>
      <c r="G57" s="32"/>
      <c r="H57" s="32"/>
      <c r="I57" s="33"/>
      <c r="J57" s="34"/>
      <c r="K57" s="34"/>
    </row>
    <row r="58" spans="1:11" x14ac:dyDescent="0.35">
      <c r="A58" s="32">
        <v>2463.3606186272591</v>
      </c>
      <c r="B58" s="32">
        <v>366.19853494330675</v>
      </c>
      <c r="C58" s="33">
        <v>1</v>
      </c>
      <c r="D58" s="34">
        <v>165.60194674149193</v>
      </c>
      <c r="E58" s="34">
        <v>1247146086.6136954</v>
      </c>
      <c r="G58" s="32"/>
      <c r="H58" s="32"/>
      <c r="I58" s="33"/>
      <c r="J58" s="34"/>
      <c r="K58" s="34"/>
    </row>
    <row r="59" spans="1:11" x14ac:dyDescent="0.35">
      <c r="A59" s="32">
        <v>2640.1275348689696</v>
      </c>
      <c r="B59" s="32">
        <v>370.43825844813227</v>
      </c>
      <c r="C59" s="33">
        <v>1</v>
      </c>
      <c r="D59" s="34">
        <v>176.64207652425139</v>
      </c>
      <c r="E59" s="34">
        <v>1331723653.437995</v>
      </c>
      <c r="G59" s="32"/>
      <c r="H59" s="32"/>
      <c r="I59" s="33"/>
      <c r="J59" s="34"/>
      <c r="K59" s="34"/>
    </row>
    <row r="60" spans="1:11" x14ac:dyDescent="0.35">
      <c r="A60" s="32">
        <v>2816.8944511106793</v>
      </c>
      <c r="B60" s="32">
        <v>372.95575699570225</v>
      </c>
      <c r="C60" s="33">
        <v>1</v>
      </c>
      <c r="D60" s="34">
        <v>187.68220630701086</v>
      </c>
      <c r="E60" s="34">
        <v>1426661424.4522848</v>
      </c>
      <c r="G60" s="32"/>
      <c r="H60" s="32"/>
      <c r="I60" s="33"/>
      <c r="J60" s="34"/>
      <c r="K60" s="34"/>
    </row>
    <row r="61" spans="1:11" x14ac:dyDescent="0.35">
      <c r="A61" s="32">
        <v>2993.6613673523902</v>
      </c>
      <c r="B61" s="32">
        <v>373.75103058601701</v>
      </c>
      <c r="C61" s="33">
        <v>1</v>
      </c>
      <c r="D61" s="34">
        <v>198.72233608977032</v>
      </c>
      <c r="E61" s="34">
        <v>1532694730.6797793</v>
      </c>
      <c r="G61" s="32"/>
      <c r="H61" s="32"/>
      <c r="I61" s="33"/>
      <c r="J61" s="34"/>
      <c r="K61" s="34"/>
    </row>
    <row r="62" spans="1:11" x14ac:dyDescent="0.35">
      <c r="A62" s="32">
        <v>3228.7296899504609</v>
      </c>
      <c r="B62" s="32">
        <v>365.53640342453133</v>
      </c>
      <c r="C62" s="33">
        <v>1</v>
      </c>
      <c r="D62" s="34">
        <v>209.76246587252979</v>
      </c>
      <c r="E62" s="34">
        <v>1650546657.3078332</v>
      </c>
      <c r="G62" s="32"/>
      <c r="H62" s="32"/>
      <c r="I62" s="33"/>
      <c r="J62" s="34"/>
      <c r="K62" s="34"/>
    </row>
    <row r="63" spans="1:11" x14ac:dyDescent="0.35">
      <c r="A63" s="32">
        <v>3480.5815358743198</v>
      </c>
      <c r="B63" s="32">
        <v>353.50161089006679</v>
      </c>
      <c r="C63" s="33">
        <v>1</v>
      </c>
      <c r="D63" s="34">
        <v>220.80259565528925</v>
      </c>
      <c r="E63" s="34">
        <v>1780930901.9371197</v>
      </c>
      <c r="G63" s="32"/>
      <c r="H63" s="32"/>
      <c r="I63" s="33"/>
      <c r="J63" s="34"/>
      <c r="K63" s="34"/>
    </row>
    <row r="64" spans="1:11" x14ac:dyDescent="0.35">
      <c r="A64" s="32">
        <v>3725.2824361141675</v>
      </c>
      <c r="B64" s="32">
        <v>340.63846160884822</v>
      </c>
      <c r="C64" s="33">
        <v>1</v>
      </c>
      <c r="D64" s="34">
        <v>231.84272543804872</v>
      </c>
      <c r="E64" s="34">
        <v>1924553867.9767418</v>
      </c>
      <c r="G64" s="32"/>
      <c r="H64" s="32"/>
      <c r="I64" s="33"/>
      <c r="J64" s="34"/>
      <c r="K64" s="34"/>
    </row>
    <row r="65" spans="1:11" x14ac:dyDescent="0.35">
      <c r="A65" s="32">
        <v>3963.8075196269137</v>
      </c>
      <c r="B65" s="32">
        <v>326.825064461262</v>
      </c>
      <c r="C65" s="33">
        <v>1</v>
      </c>
      <c r="D65" s="34">
        <v>242.88285522080818</v>
      </c>
      <c r="E65" s="34">
        <v>2082116221.7736678</v>
      </c>
      <c r="G65" s="32"/>
      <c r="H65" s="32"/>
      <c r="I65" s="33"/>
      <c r="J65" s="34"/>
      <c r="K65" s="34"/>
    </row>
    <row r="66" spans="1:11" x14ac:dyDescent="0.35">
      <c r="A66" s="32">
        <v>4196.9623277247902</v>
      </c>
      <c r="B66" s="32">
        <v>311.96072678327914</v>
      </c>
      <c r="C66" s="33">
        <v>1</v>
      </c>
      <c r="D66" s="34">
        <v>253.92298500356765</v>
      </c>
      <c r="E66" s="34">
        <v>2254314067.1851277</v>
      </c>
      <c r="G66" s="32"/>
      <c r="H66" s="32"/>
      <c r="I66" s="33"/>
      <c r="J66" s="34"/>
      <c r="K66" s="34"/>
    </row>
    <row r="67" spans="1:11" x14ac:dyDescent="0.35">
      <c r="A67" s="32">
        <v>4425.4181448346526</v>
      </c>
      <c r="B67" s="32">
        <v>295.96153802154242</v>
      </c>
      <c r="C67" s="33">
        <v>1</v>
      </c>
      <c r="D67" s="34">
        <v>264.96311478632708</v>
      </c>
      <c r="E67" s="34">
        <v>2441839842.9321766</v>
      </c>
      <c r="G67" s="32"/>
      <c r="H67" s="32"/>
      <c r="I67" s="33"/>
      <c r="J67" s="34"/>
      <c r="K67" s="34"/>
    </row>
    <row r="68" spans="1:11" x14ac:dyDescent="0.35">
      <c r="A68" s="32">
        <v>4649.7388498750661</v>
      </c>
      <c r="B68" s="32">
        <v>278.75701331123167</v>
      </c>
      <c r="C68" s="33">
        <v>1</v>
      </c>
      <c r="D68" s="34">
        <v>276.00324456908652</v>
      </c>
      <c r="E68" s="34">
        <v>2645383016.1784506</v>
      </c>
      <c r="G68" s="32"/>
      <c r="H68" s="32"/>
      <c r="I68" s="33"/>
      <c r="J68" s="34"/>
      <c r="K68" s="34"/>
    </row>
    <row r="69" spans="1:11" x14ac:dyDescent="0.35">
      <c r="A69" s="32">
        <v>4870.401571161733</v>
      </c>
      <c r="B69" s="32">
        <v>260.28751161288375</v>
      </c>
      <c r="C69" s="33">
        <v>1</v>
      </c>
      <c r="D69" s="34">
        <v>287.04337435184596</v>
      </c>
      <c r="E69" s="34">
        <v>2865630624.3517509</v>
      </c>
      <c r="G69" s="32"/>
      <c r="H69" s="32"/>
      <c r="I69" s="33"/>
      <c r="J69" s="34"/>
      <c r="K69" s="34"/>
    </row>
    <row r="70" spans="1:11" x14ac:dyDescent="0.35">
      <c r="A70" s="32">
        <v>5087.8127513339614</v>
      </c>
      <c r="B70" s="32">
        <v>240.50222759658553</v>
      </c>
      <c r="C70" s="33">
        <v>1</v>
      </c>
      <c r="D70" s="34">
        <v>298.08350413460539</v>
      </c>
      <c r="E70" s="34">
        <v>3103267702.5845571</v>
      </c>
      <c r="G70" s="32"/>
      <c r="H70" s="32"/>
      <c r="I70" s="33"/>
      <c r="J70" s="34"/>
      <c r="K70" s="34"/>
    </row>
    <row r="71" spans="1:11" x14ac:dyDescent="0.35">
      <c r="A71" s="32">
        <v>5302.3207697968664</v>
      </c>
      <c r="B71" s="32">
        <v>219.35761383669703</v>
      </c>
      <c r="C71" s="33">
        <v>1</v>
      </c>
      <c r="D71" s="34">
        <v>309.12363391736483</v>
      </c>
      <c r="E71" s="34">
        <v>3232735789.3524799</v>
      </c>
      <c r="G71" s="32"/>
      <c r="H71" s="32"/>
      <c r="I71" s="33"/>
      <c r="J71" s="34"/>
      <c r="K71" s="34"/>
    </row>
    <row r="72" spans="1:11" x14ac:dyDescent="0.35">
      <c r="A72" s="32">
        <v>5514.2259536238298</v>
      </c>
      <c r="B72" s="32">
        <v>196.81612944904623</v>
      </c>
      <c r="C72" s="33">
        <v>1</v>
      </c>
      <c r="D72" s="34">
        <v>320.16376370012426</v>
      </c>
      <c r="E72" s="34">
        <v>3506916717.6354094</v>
      </c>
      <c r="G72" s="32"/>
      <c r="H72" s="32"/>
      <c r="I72" s="33"/>
      <c r="J72" s="34"/>
      <c r="K72" s="34"/>
    </row>
    <row r="73" spans="1:11" x14ac:dyDescent="0.35">
      <c r="A73" s="32">
        <v>5723.7887499999997</v>
      </c>
      <c r="B73" s="32">
        <v>172.84523900090736</v>
      </c>
      <c r="C73" s="33">
        <v>1</v>
      </c>
      <c r="D73" s="34">
        <v>331.20389348278371</v>
      </c>
      <c r="E73" s="34">
        <v>3800551103.9067469</v>
      </c>
      <c r="G73" s="32"/>
      <c r="H73" s="32"/>
      <c r="I73" s="33"/>
      <c r="J73" s="34"/>
      <c r="K73" s="34"/>
    </row>
    <row r="74" spans="1:11" x14ac:dyDescent="0.35">
      <c r="A74" s="32">
        <v>5723.7887499999997</v>
      </c>
      <c r="B74" s="32">
        <v>0</v>
      </c>
      <c r="C74" s="33">
        <v>1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A1:C2"/>
    <mergeCell ref="E1:H2"/>
    <mergeCell ref="E3:H4"/>
  </mergeCells>
  <hyperlinks>
    <hyperlink ref="B3" r:id="rId1" display="WeldGroup" xr:uid="{CBC795FC-F2AA-4369-8A10-BFA69C67676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CBF13-8981-4865-B46C-A889F1E4570F}">
  <dimension ref="A1:K76"/>
  <sheetViews>
    <sheetView workbookViewId="0">
      <selection sqref="A1:K1048576"/>
    </sheetView>
  </sheetViews>
  <sheetFormatPr defaultRowHeight="14.5" x14ac:dyDescent="0.35"/>
  <cols>
    <col min="1" max="2" width="7" customWidth="1"/>
    <col min="3" max="3" width="5.81640625" customWidth="1"/>
    <col min="4" max="4" width="7.453125" customWidth="1"/>
    <col min="5" max="9" width="7" customWidth="1"/>
    <col min="10" max="10" width="8.453125" customWidth="1"/>
    <col min="11" max="12" width="7" customWidth="1"/>
  </cols>
  <sheetData>
    <row r="1" spans="1:11" ht="14.5" customHeight="1" x14ac:dyDescent="0.35">
      <c r="A1" s="41" t="str">
        <f>IF([5]Input!A1="","",[5]Input!A1)</f>
        <v/>
      </c>
      <c r="B1" s="36"/>
      <c r="C1" s="42"/>
      <c r="D1" s="2" t="s">
        <v>0</v>
      </c>
      <c r="E1" s="35" t="str">
        <f>IF([5]Input!E1="","",[5]Input!E1)</f>
        <v>OLN PTUS</v>
      </c>
      <c r="F1" s="36"/>
      <c r="G1" s="36"/>
      <c r="H1" s="36"/>
      <c r="I1" s="2" t="s">
        <v>1</v>
      </c>
      <c r="J1" s="3" t="str">
        <f>IF([5]Input!K1="","",[5]Input!K1)</f>
        <v/>
      </c>
      <c r="K1" s="4"/>
    </row>
    <row r="2" spans="1:11" ht="14.5" customHeight="1" x14ac:dyDescent="0.35">
      <c r="A2" s="43"/>
      <c r="B2" s="37"/>
      <c r="C2" s="44"/>
      <c r="D2" s="5"/>
      <c r="E2" s="37"/>
      <c r="F2" s="37"/>
      <c r="G2" s="37"/>
      <c r="H2" s="37"/>
      <c r="I2" s="6" t="s">
        <v>2</v>
      </c>
      <c r="J2" s="7">
        <f ca="1">NOW()</f>
        <v>46155.397002314814</v>
      </c>
      <c r="K2" s="8"/>
    </row>
    <row r="3" spans="1:11" ht="14.5" customHeight="1" x14ac:dyDescent="0.35">
      <c r="A3" s="9"/>
      <c r="B3" s="1" t="s">
        <v>3</v>
      </c>
      <c r="C3" s="10"/>
      <c r="D3" s="11" t="s">
        <v>4</v>
      </c>
      <c r="E3" s="38" t="str">
        <f>IF([5]Input!E3="","",[5]Input!E3)</f>
        <v>Bain Adit - Final Lining</v>
      </c>
      <c r="F3" s="39"/>
      <c r="G3" s="39"/>
      <c r="H3" s="39"/>
      <c r="I3" s="11" t="s">
        <v>5</v>
      </c>
      <c r="J3" s="12" t="str">
        <f>IF([5]Input!K3="","",[5]Input!K3)</f>
        <v/>
      </c>
      <c r="K3" s="13"/>
    </row>
    <row r="4" spans="1:11" ht="15" customHeight="1" thickBot="1" x14ac:dyDescent="0.4">
      <c r="A4" s="14"/>
      <c r="B4" s="15">
        <f>[5]Input!B4</f>
        <v>2021.04</v>
      </c>
      <c r="C4" s="16"/>
      <c r="D4" s="17"/>
      <c r="E4" s="40"/>
      <c r="F4" s="40"/>
      <c r="G4" s="40"/>
      <c r="H4" s="40"/>
      <c r="I4" s="18" t="s">
        <v>2</v>
      </c>
      <c r="J4" s="19">
        <f>IF([5]Input!K4="","",[5]Input!K4)</f>
        <v>46154.43177476852</v>
      </c>
      <c r="K4" s="20"/>
    </row>
    <row r="6" spans="1:11" ht="19" x14ac:dyDescent="0.5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3"/>
    </row>
    <row r="8" spans="1:11" ht="68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1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1" x14ac:dyDescent="0.35">
      <c r="A10" s="32">
        <v>-1333.3333333333335</v>
      </c>
      <c r="B10" s="32">
        <v>14.166666666349167</v>
      </c>
      <c r="C10" s="33">
        <v>1</v>
      </c>
      <c r="D10" s="34">
        <v>1E-10</v>
      </c>
      <c r="E10" s="34">
        <v>281781425.56491965</v>
      </c>
      <c r="G10" s="32"/>
      <c r="H10" s="32"/>
      <c r="I10" s="33"/>
      <c r="J10" s="34"/>
      <c r="K10" s="34"/>
    </row>
    <row r="11" spans="1:11" x14ac:dyDescent="0.35">
      <c r="A11" s="32">
        <v>-958.50265928969384</v>
      </c>
      <c r="B11" s="32">
        <v>-15.586350136289006</v>
      </c>
      <c r="C11" s="33">
        <v>1</v>
      </c>
      <c r="D11" s="34">
        <v>10.919200111008404</v>
      </c>
      <c r="E11" s="34">
        <v>475345454.27659672</v>
      </c>
      <c r="G11" s="32"/>
      <c r="H11" s="32"/>
      <c r="I11" s="33"/>
      <c r="J11" s="34"/>
      <c r="K11" s="34"/>
    </row>
    <row r="12" spans="1:11" x14ac:dyDescent="0.35">
      <c r="A12" s="32">
        <v>-783.67198524765513</v>
      </c>
      <c r="B12" s="32">
        <v>-43.654664629632798</v>
      </c>
      <c r="C12" s="33">
        <v>1</v>
      </c>
      <c r="D12" s="34">
        <v>21.838400221916807</v>
      </c>
      <c r="E12" s="34">
        <v>573766563.73334014</v>
      </c>
      <c r="G12" s="32"/>
      <c r="H12" s="32"/>
      <c r="I12" s="33"/>
      <c r="J12" s="34"/>
      <c r="K12" s="34"/>
    </row>
    <row r="13" spans="1:11" x14ac:dyDescent="0.35">
      <c r="A13" s="32">
        <v>-608.84131120561653</v>
      </c>
      <c r="B13" s="32">
        <v>-70.038276813644885</v>
      </c>
      <c r="C13" s="33">
        <v>1</v>
      </c>
      <c r="D13" s="34">
        <v>32.757600332825213</v>
      </c>
      <c r="E13" s="34">
        <v>634727206.65435076</v>
      </c>
      <c r="G13" s="32"/>
      <c r="H13" s="32"/>
      <c r="I13" s="33"/>
      <c r="J13" s="34"/>
      <c r="K13" s="34"/>
    </row>
    <row r="14" spans="1:11" x14ac:dyDescent="0.35">
      <c r="A14" s="32">
        <v>-36.245219535995602</v>
      </c>
      <c r="B14" s="32">
        <v>-144.45786389177312</v>
      </c>
      <c r="C14" s="33">
        <v>1</v>
      </c>
      <c r="D14" s="34">
        <v>43.676800443733619</v>
      </c>
      <c r="E14" s="34">
        <v>678134347.77700853</v>
      </c>
      <c r="G14" s="32"/>
      <c r="H14" s="32"/>
      <c r="I14" s="33"/>
      <c r="J14" s="34"/>
      <c r="K14" s="34"/>
    </row>
    <row r="15" spans="1:11" x14ac:dyDescent="0.35">
      <c r="A15" s="32">
        <v>405.69903764670397</v>
      </c>
      <c r="B15" s="32">
        <v>-200.86126934970446</v>
      </c>
      <c r="C15" s="33">
        <v>1</v>
      </c>
      <c r="D15" s="34">
        <v>54.596000554642025</v>
      </c>
      <c r="E15" s="34">
        <v>712937864.66210377</v>
      </c>
      <c r="G15" s="32"/>
      <c r="H15" s="32"/>
      <c r="I15" s="33"/>
      <c r="J15" s="34"/>
      <c r="K15" s="34"/>
    </row>
    <row r="16" spans="1:11" x14ac:dyDescent="0.35">
      <c r="A16" s="32">
        <v>728.36689211598571</v>
      </c>
      <c r="B16" s="32">
        <v>-240.67042215912682</v>
      </c>
      <c r="C16" s="33">
        <v>1</v>
      </c>
      <c r="D16" s="34">
        <v>65.515200665550424</v>
      </c>
      <c r="E16" s="34">
        <v>743878381.73404157</v>
      </c>
      <c r="G16" s="32"/>
      <c r="H16" s="32"/>
      <c r="I16" s="33"/>
      <c r="J16" s="34"/>
      <c r="K16" s="34"/>
    </row>
    <row r="17" spans="1:11" x14ac:dyDescent="0.35">
      <c r="A17" s="32">
        <v>1030.3945105108835</v>
      </c>
      <c r="B17" s="32">
        <v>-276.2148431499196</v>
      </c>
      <c r="C17" s="33">
        <v>1</v>
      </c>
      <c r="D17" s="34">
        <v>76.43440077645883</v>
      </c>
      <c r="E17" s="34">
        <v>773982927.78822625</v>
      </c>
      <c r="G17" s="32"/>
      <c r="H17" s="32"/>
      <c r="I17" s="33"/>
      <c r="J17" s="34"/>
      <c r="K17" s="34"/>
    </row>
    <row r="18" spans="1:11" x14ac:dyDescent="0.35">
      <c r="A18" s="32">
        <v>1300.6228928176031</v>
      </c>
      <c r="B18" s="32">
        <v>-306.09965732035835</v>
      </c>
      <c r="C18" s="33">
        <v>1</v>
      </c>
      <c r="D18" s="34">
        <v>87.353600887367236</v>
      </c>
      <c r="E18" s="34">
        <v>805341283.43718076</v>
      </c>
      <c r="G18" s="32"/>
      <c r="H18" s="32"/>
      <c r="I18" s="33"/>
      <c r="J18" s="34"/>
      <c r="K18" s="34"/>
    </row>
    <row r="19" spans="1:11" x14ac:dyDescent="0.35">
      <c r="A19" s="32">
        <v>1543.2375247132816</v>
      </c>
      <c r="B19" s="32">
        <v>-330.84805038008528</v>
      </c>
      <c r="C19" s="33">
        <v>1</v>
      </c>
      <c r="D19" s="34">
        <v>98.272800998275642</v>
      </c>
      <c r="E19" s="34">
        <v>839514553.66460133</v>
      </c>
      <c r="G19" s="32"/>
      <c r="H19" s="32"/>
      <c r="I19" s="33"/>
      <c r="J19" s="34"/>
      <c r="K19" s="34"/>
    </row>
    <row r="20" spans="1:11" x14ac:dyDescent="0.35">
      <c r="A20" s="32">
        <v>1718.0681987553205</v>
      </c>
      <c r="B20" s="32">
        <v>-345.43874639877561</v>
      </c>
      <c r="C20" s="33">
        <v>1</v>
      </c>
      <c r="D20" s="34">
        <v>109.19200110918405</v>
      </c>
      <c r="E20" s="34">
        <v>877757555.34306419</v>
      </c>
      <c r="G20" s="32"/>
      <c r="H20" s="32"/>
      <c r="I20" s="33"/>
      <c r="J20" s="34"/>
      <c r="K20" s="34"/>
    </row>
    <row r="21" spans="1:11" x14ac:dyDescent="0.35">
      <c r="A21" s="32">
        <v>1892.8988727973592</v>
      </c>
      <c r="B21" s="32">
        <v>-358.34474010813415</v>
      </c>
      <c r="C21" s="33">
        <v>1</v>
      </c>
      <c r="D21" s="34">
        <v>120.11120122009245</v>
      </c>
      <c r="E21" s="34">
        <v>921137659.21339798</v>
      </c>
      <c r="G21" s="32"/>
      <c r="H21" s="32"/>
      <c r="I21" s="33"/>
      <c r="J21" s="34"/>
      <c r="K21" s="34"/>
    </row>
    <row r="22" spans="1:11" x14ac:dyDescent="0.35">
      <c r="A22" s="32">
        <v>2067.7295468393977</v>
      </c>
      <c r="B22" s="32">
        <v>-369.56603150816102</v>
      </c>
      <c r="C22" s="33">
        <v>1</v>
      </c>
      <c r="D22" s="34">
        <v>131.03040133100086</v>
      </c>
      <c r="E22" s="34">
        <v>970602282.78014517</v>
      </c>
      <c r="G22" s="32"/>
      <c r="H22" s="32"/>
      <c r="I22" s="33"/>
      <c r="J22" s="34"/>
      <c r="K22" s="34"/>
    </row>
    <row r="23" spans="1:11" x14ac:dyDescent="0.35">
      <c r="A23" s="32">
        <v>2242.5602208814362</v>
      </c>
      <c r="B23" s="32">
        <v>-379.10262059885616</v>
      </c>
      <c r="C23" s="33">
        <v>1</v>
      </c>
      <c r="D23" s="34">
        <v>141.94960144190927</v>
      </c>
      <c r="E23" s="34">
        <v>1027019179.9574202</v>
      </c>
      <c r="G23" s="32"/>
      <c r="H23" s="32"/>
      <c r="I23" s="33"/>
      <c r="J23" s="34"/>
      <c r="K23" s="34"/>
    </row>
    <row r="24" spans="1:11" x14ac:dyDescent="0.35">
      <c r="A24" s="32">
        <v>2417.3908949234751</v>
      </c>
      <c r="B24" s="32">
        <v>-386.95450738021964</v>
      </c>
      <c r="C24" s="33">
        <v>1</v>
      </c>
      <c r="D24" s="34">
        <v>152.86880155281767</v>
      </c>
      <c r="E24" s="34">
        <v>1091201514.0212164</v>
      </c>
      <c r="G24" s="32"/>
      <c r="H24" s="32"/>
      <c r="I24" s="33"/>
      <c r="J24" s="34"/>
      <c r="K24" s="34"/>
    </row>
    <row r="25" spans="1:11" x14ac:dyDescent="0.35">
      <c r="A25" s="32">
        <v>2592.2215689655136</v>
      </c>
      <c r="B25" s="32">
        <v>-393.12169185225144</v>
      </c>
      <c r="C25" s="33">
        <v>1</v>
      </c>
      <c r="D25" s="34">
        <v>163.78800166372608</v>
      </c>
      <c r="E25" s="34">
        <v>1163924021.7316327</v>
      </c>
      <c r="G25" s="32"/>
      <c r="H25" s="32"/>
      <c r="I25" s="33"/>
      <c r="J25" s="34"/>
      <c r="K25" s="34"/>
    </row>
    <row r="26" spans="1:11" x14ac:dyDescent="0.35">
      <c r="A26" s="32">
        <v>2767.0522430075521</v>
      </c>
      <c r="B26" s="32">
        <v>-397.60417401495158</v>
      </c>
      <c r="C26" s="33">
        <v>1</v>
      </c>
      <c r="D26" s="34">
        <v>174.70720177463448</v>
      </c>
      <c r="E26" s="34">
        <v>1245933755.1818094</v>
      </c>
      <c r="G26" s="32"/>
      <c r="H26" s="32"/>
      <c r="I26" s="33"/>
      <c r="J26" s="34"/>
      <c r="K26" s="34"/>
    </row>
    <row r="27" spans="1:11" x14ac:dyDescent="0.35">
      <c r="A27" s="32">
        <v>2946.8342418195148</v>
      </c>
      <c r="B27" s="32">
        <v>-399.90682139132764</v>
      </c>
      <c r="C27" s="33">
        <v>1</v>
      </c>
      <c r="D27" s="34">
        <v>185.62640188554289</v>
      </c>
      <c r="E27" s="34">
        <v>1337957411.0732961</v>
      </c>
      <c r="G27" s="32"/>
      <c r="H27" s="32"/>
      <c r="I27" s="33"/>
      <c r="J27" s="34"/>
      <c r="K27" s="34"/>
    </row>
    <row r="28" spans="1:11" x14ac:dyDescent="0.35">
      <c r="A28" s="32">
        <v>3217.6861385594711</v>
      </c>
      <c r="B28" s="32">
        <v>-391.41777666557255</v>
      </c>
      <c r="C28" s="33">
        <v>1</v>
      </c>
      <c r="D28" s="34">
        <v>196.5456019964513</v>
      </c>
      <c r="E28" s="34">
        <v>1440706448.64396</v>
      </c>
      <c r="G28" s="32"/>
      <c r="H28" s="32"/>
      <c r="I28" s="33"/>
      <c r="J28" s="34"/>
      <c r="K28" s="34"/>
    </row>
    <row r="29" spans="1:11" x14ac:dyDescent="0.35">
      <c r="A29" s="32">
        <v>3478.4305381733366</v>
      </c>
      <c r="B29" s="32">
        <v>-382.25477934309492</v>
      </c>
      <c r="C29" s="33">
        <v>1</v>
      </c>
      <c r="D29" s="34">
        <v>207.4648021073597</v>
      </c>
      <c r="E29" s="34">
        <v>1554880737.3747962</v>
      </c>
      <c r="G29" s="32"/>
      <c r="H29" s="32"/>
      <c r="I29" s="33"/>
      <c r="J29" s="34"/>
      <c r="K29" s="34"/>
    </row>
    <row r="30" spans="1:11" x14ac:dyDescent="0.35">
      <c r="A30" s="32">
        <v>3730.5835652300229</v>
      </c>
      <c r="B30" s="32">
        <v>-372.26621696700346</v>
      </c>
      <c r="C30" s="33">
        <v>1</v>
      </c>
      <c r="D30" s="34">
        <v>218.38400221826811</v>
      </c>
      <c r="E30" s="34">
        <v>1681171204.7021902</v>
      </c>
      <c r="G30" s="32"/>
      <c r="H30" s="32"/>
      <c r="I30" s="33"/>
      <c r="J30" s="34"/>
      <c r="K30" s="34"/>
    </row>
    <row r="31" spans="1:11" x14ac:dyDescent="0.35">
      <c r="A31" s="32">
        <v>3975.3725586662704</v>
      </c>
      <c r="B31" s="32">
        <v>-361.32935564362424</v>
      </c>
      <c r="C31" s="33">
        <v>1</v>
      </c>
      <c r="D31" s="34">
        <v>229.30320232917651</v>
      </c>
      <c r="E31" s="34">
        <v>1820261789.5930007</v>
      </c>
      <c r="G31" s="32"/>
      <c r="H31" s="32"/>
      <c r="I31" s="33"/>
      <c r="J31" s="34"/>
      <c r="K31" s="34"/>
    </row>
    <row r="32" spans="1:11" x14ac:dyDescent="0.35">
      <c r="A32" s="32">
        <v>4213.8017048848651</v>
      </c>
      <c r="B32" s="32">
        <v>-349.34377673267869</v>
      </c>
      <c r="C32" s="33">
        <v>1</v>
      </c>
      <c r="D32" s="34">
        <v>240.22240244008492</v>
      </c>
      <c r="E32" s="34">
        <v>1972830905.4023297</v>
      </c>
      <c r="G32" s="32"/>
      <c r="H32" s="32"/>
      <c r="I32" s="33"/>
      <c r="J32" s="34"/>
      <c r="K32" s="34"/>
    </row>
    <row r="33" spans="1:11" x14ac:dyDescent="0.35">
      <c r="A33" s="32">
        <v>4446.700549175066</v>
      </c>
      <c r="B33" s="32">
        <v>-336.2265257052407</v>
      </c>
      <c r="C33" s="33">
        <v>1</v>
      </c>
      <c r="D33" s="34">
        <v>251.14160255099333</v>
      </c>
      <c r="E33" s="34">
        <v>2139552550.0422449</v>
      </c>
      <c r="G33" s="32"/>
      <c r="H33" s="32"/>
      <c r="I33" s="33"/>
      <c r="J33" s="34"/>
      <c r="K33" s="34"/>
    </row>
    <row r="34" spans="1:11" x14ac:dyDescent="0.35">
      <c r="A34" s="32">
        <v>4674.76037927792</v>
      </c>
      <c r="B34" s="32">
        <v>-321.90847378720559</v>
      </c>
      <c r="C34" s="33">
        <v>1</v>
      </c>
      <c r="D34" s="34">
        <v>262.06080266190173</v>
      </c>
      <c r="E34" s="34">
        <v>2321097158.8330507</v>
      </c>
      <c r="G34" s="32"/>
      <c r="H34" s="32"/>
      <c r="I34" s="33"/>
      <c r="J34" s="34"/>
      <c r="K34" s="34"/>
    </row>
    <row r="35" spans="1:11" x14ac:dyDescent="0.35">
      <c r="A35" s="32">
        <v>4898.5618768959121</v>
      </c>
      <c r="B35" s="32">
        <v>-306.33155280832517</v>
      </c>
      <c r="C35" s="33">
        <v>1</v>
      </c>
      <c r="D35" s="34">
        <v>272.98000277281011</v>
      </c>
      <c r="E35" s="34">
        <v>2518132267.0310025</v>
      </c>
      <c r="G35" s="32"/>
      <c r="H35" s="32"/>
      <c r="I35" s="33"/>
      <c r="J35" s="34"/>
      <c r="K35" s="34"/>
    </row>
    <row r="36" spans="1:11" x14ac:dyDescent="0.35">
      <c r="A36" s="32">
        <v>5118.596388084984</v>
      </c>
      <c r="B36" s="32">
        <v>-289.44662816300496</v>
      </c>
      <c r="C36" s="33">
        <v>1</v>
      </c>
      <c r="D36" s="34">
        <v>283.89920288371849</v>
      </c>
      <c r="E36" s="34">
        <v>2615061512.1512403</v>
      </c>
      <c r="G36" s="32"/>
      <c r="H36" s="32"/>
      <c r="I36" s="33"/>
      <c r="J36" s="34"/>
      <c r="K36" s="34"/>
    </row>
    <row r="37" spans="1:11" x14ac:dyDescent="0.35">
      <c r="A37" s="32">
        <v>5335.2824668927969</v>
      </c>
      <c r="B37" s="32">
        <v>-271.21184444647906</v>
      </c>
      <c r="C37" s="33">
        <v>1</v>
      </c>
      <c r="D37" s="34">
        <v>294.81840299462687</v>
      </c>
      <c r="E37" s="34">
        <v>2844738305.8934803</v>
      </c>
      <c r="G37" s="32"/>
      <c r="H37" s="32"/>
      <c r="I37" s="33"/>
      <c r="J37" s="34"/>
      <c r="K37" s="34"/>
    </row>
    <row r="38" spans="1:11" x14ac:dyDescent="0.35">
      <c r="A38" s="32">
        <v>5548.9788739316255</v>
      </c>
      <c r="B38" s="32">
        <v>-251.59132559751981</v>
      </c>
      <c r="C38" s="33">
        <v>1</v>
      </c>
      <c r="D38" s="34">
        <v>305.73760310553524</v>
      </c>
      <c r="E38" s="34">
        <v>3091917387.6202731</v>
      </c>
      <c r="G38" s="32"/>
      <c r="H38" s="32"/>
      <c r="I38" s="33"/>
      <c r="J38" s="34"/>
      <c r="K38" s="34"/>
    </row>
    <row r="39" spans="1:11" x14ac:dyDescent="0.35">
      <c r="A39" s="32">
        <v>5729.7563439247015</v>
      </c>
      <c r="B39" s="32">
        <v>-233.57799814380428</v>
      </c>
      <c r="C39" s="33">
        <v>1</v>
      </c>
      <c r="D39" s="34">
        <v>316.65680321644362</v>
      </c>
      <c r="E39" s="34">
        <v>3357256840.3204718</v>
      </c>
      <c r="G39" s="32"/>
      <c r="H39" s="32"/>
      <c r="I39" s="33"/>
      <c r="J39" s="34"/>
      <c r="K39" s="34"/>
    </row>
    <row r="40" spans="1:11" x14ac:dyDescent="0.35">
      <c r="A40" s="32">
        <v>5938.3600000000015</v>
      </c>
      <c r="B40" s="32">
        <v>-211.09734979842079</v>
      </c>
      <c r="C40" s="33">
        <v>1</v>
      </c>
      <c r="D40" s="34">
        <v>327.57600332725212</v>
      </c>
      <c r="E40" s="34">
        <v>3641413846.9017944</v>
      </c>
      <c r="G40" s="32"/>
      <c r="H40" s="32"/>
      <c r="I40" s="33"/>
      <c r="J40" s="34"/>
      <c r="K40" s="34"/>
    </row>
    <row r="41" spans="1:11" x14ac:dyDescent="0.35">
      <c r="A41" s="32">
        <v>5938.3600000000015</v>
      </c>
      <c r="B41" s="32">
        <v>0</v>
      </c>
      <c r="C41" s="33">
        <v>1</v>
      </c>
      <c r="D41" s="34"/>
      <c r="E41" s="34"/>
      <c r="G41" s="32"/>
      <c r="H41" s="32"/>
      <c r="I41" s="33"/>
      <c r="J41" s="34"/>
      <c r="K41" s="34"/>
    </row>
    <row r="42" spans="1:11" x14ac:dyDescent="0.35">
      <c r="A42" s="32"/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 s="32">
        <v>-1333.3333333333335</v>
      </c>
      <c r="B43" s="32">
        <v>14.166666666984176</v>
      </c>
      <c r="C43" s="33">
        <v>1</v>
      </c>
      <c r="D43" s="34">
        <v>1E-10</v>
      </c>
      <c r="E43" s="34">
        <v>281781425.56591111</v>
      </c>
      <c r="G43" s="32"/>
      <c r="H43" s="32"/>
      <c r="I43" s="33"/>
      <c r="J43" s="34"/>
      <c r="K43" s="34"/>
    </row>
    <row r="44" spans="1:11" x14ac:dyDescent="0.35">
      <c r="A44" s="32">
        <v>-956.8718374018963</v>
      </c>
      <c r="B44" s="32">
        <v>44.189289089306357</v>
      </c>
      <c r="C44" s="33">
        <v>1</v>
      </c>
      <c r="D44" s="34">
        <v>11.021054494603746</v>
      </c>
      <c r="E44" s="34">
        <v>541059361.24281085</v>
      </c>
      <c r="G44" s="32"/>
      <c r="H44" s="32"/>
      <c r="I44" s="33"/>
      <c r="J44" s="34"/>
      <c r="K44" s="34"/>
    </row>
    <row r="45" spans="1:11" x14ac:dyDescent="0.35">
      <c r="A45" s="32">
        <v>-780.41034147206028</v>
      </c>
      <c r="B45" s="32">
        <v>72.49563278097331</v>
      </c>
      <c r="C45" s="33">
        <v>1</v>
      </c>
      <c r="D45" s="34">
        <v>22.04210898910749</v>
      </c>
      <c r="E45" s="34">
        <v>672073020.59488928</v>
      </c>
      <c r="G45" s="32"/>
      <c r="H45" s="32"/>
      <c r="I45" s="33"/>
      <c r="J45" s="34"/>
      <c r="K45" s="34"/>
    </row>
    <row r="46" spans="1:11" x14ac:dyDescent="0.35">
      <c r="A46" s="32">
        <v>-603.94884554222415</v>
      </c>
      <c r="B46" s="32">
        <v>99.085697741947797</v>
      </c>
      <c r="C46" s="33">
        <v>1</v>
      </c>
      <c r="D46" s="34">
        <v>33.063163483611234</v>
      </c>
      <c r="E46" s="34">
        <v>752541346.02757096</v>
      </c>
      <c r="G46" s="32"/>
      <c r="H46" s="32"/>
      <c r="I46" s="33"/>
      <c r="J46" s="34"/>
      <c r="K46" s="34"/>
    </row>
    <row r="47" spans="1:11" x14ac:dyDescent="0.35">
      <c r="A47" s="32">
        <v>-427.48734961238813</v>
      </c>
      <c r="B47" s="32">
        <v>123.95948397222972</v>
      </c>
      <c r="C47" s="33">
        <v>1</v>
      </c>
      <c r="D47" s="34">
        <v>44.084217978114978</v>
      </c>
      <c r="E47" s="34">
        <v>808988820.68047237</v>
      </c>
      <c r="G47" s="32"/>
      <c r="H47" s="32"/>
      <c r="I47" s="33"/>
      <c r="J47" s="34"/>
      <c r="K47" s="34"/>
    </row>
    <row r="48" spans="1:11" x14ac:dyDescent="0.35">
      <c r="A48" s="32">
        <v>-105.5623570055551</v>
      </c>
      <c r="B48" s="32">
        <v>161.66334113951891</v>
      </c>
      <c r="C48" s="33">
        <v>1</v>
      </c>
      <c r="D48" s="34">
        <v>55.105272472618722</v>
      </c>
      <c r="E48" s="34">
        <v>853207966.11539912</v>
      </c>
      <c r="G48" s="32"/>
      <c r="H48" s="32"/>
      <c r="I48" s="33"/>
      <c r="J48" s="34"/>
      <c r="K48" s="34"/>
    </row>
    <row r="49" spans="1:11" x14ac:dyDescent="0.35">
      <c r="A49" s="32">
        <v>335.54411169993659</v>
      </c>
      <c r="B49" s="32">
        <v>209.56906718598137</v>
      </c>
      <c r="C49" s="33">
        <v>1</v>
      </c>
      <c r="D49" s="34">
        <v>66.126326967122466</v>
      </c>
      <c r="E49" s="34">
        <v>891443682.31216979</v>
      </c>
      <c r="G49" s="32"/>
      <c r="H49" s="32"/>
      <c r="I49" s="33"/>
      <c r="J49" s="34"/>
      <c r="K49" s="34"/>
    </row>
    <row r="50" spans="1:11" x14ac:dyDescent="0.35">
      <c r="A50" s="32">
        <v>701.03773104105323</v>
      </c>
      <c r="B50" s="32">
        <v>248.19722956531382</v>
      </c>
      <c r="C50" s="33">
        <v>1</v>
      </c>
      <c r="D50" s="34">
        <v>77.14738146162621</v>
      </c>
      <c r="E50" s="34">
        <v>925621628.3926456</v>
      </c>
      <c r="G50" s="32"/>
      <c r="H50" s="32"/>
      <c r="I50" s="33"/>
      <c r="J50" s="34"/>
      <c r="K50" s="34"/>
    </row>
    <row r="51" spans="1:11" x14ac:dyDescent="0.35">
      <c r="A51" s="32">
        <v>989.03477786273766</v>
      </c>
      <c r="B51" s="32">
        <v>277.3594559620106</v>
      </c>
      <c r="C51" s="33">
        <v>1</v>
      </c>
      <c r="D51" s="34">
        <v>88.168435956129954</v>
      </c>
      <c r="E51" s="34">
        <v>961474231.45313072</v>
      </c>
      <c r="G51" s="32"/>
      <c r="H51" s="32"/>
      <c r="I51" s="33"/>
      <c r="J51" s="34"/>
      <c r="K51" s="34"/>
    </row>
    <row r="52" spans="1:11" x14ac:dyDescent="0.35">
      <c r="A52" s="32">
        <v>1275.7650124492272</v>
      </c>
      <c r="B52" s="32">
        <v>304.67872240449532</v>
      </c>
      <c r="C52" s="33">
        <v>1</v>
      </c>
      <c r="D52" s="34">
        <v>99.189490450633699</v>
      </c>
      <c r="E52" s="34">
        <v>999553309.10739422</v>
      </c>
      <c r="G52" s="32"/>
      <c r="H52" s="32"/>
      <c r="I52" s="33"/>
      <c r="J52" s="34"/>
      <c r="K52" s="34"/>
    </row>
    <row r="53" spans="1:11" x14ac:dyDescent="0.35">
      <c r="A53" s="32">
        <v>1540.4414993044063</v>
      </c>
      <c r="B53" s="32">
        <v>328.07633534315659</v>
      </c>
      <c r="C53" s="33">
        <v>1</v>
      </c>
      <c r="D53" s="34">
        <v>110.21054494513744</v>
      </c>
      <c r="E53" s="34">
        <v>1041318865.1923673</v>
      </c>
      <c r="G53" s="32"/>
      <c r="H53" s="32"/>
      <c r="I53" s="33"/>
      <c r="J53" s="34"/>
      <c r="K53" s="34"/>
    </row>
    <row r="54" spans="1:11" x14ac:dyDescent="0.35">
      <c r="A54" s="32">
        <v>1789.0788969004454</v>
      </c>
      <c r="B54" s="32">
        <v>348.15376062521125</v>
      </c>
      <c r="C54" s="33">
        <v>1</v>
      </c>
      <c r="D54" s="34">
        <v>121.23159943964119</v>
      </c>
      <c r="E54" s="34">
        <v>1087985140.977211</v>
      </c>
      <c r="G54" s="32"/>
      <c r="H54" s="32"/>
      <c r="I54" s="33"/>
      <c r="J54" s="34"/>
      <c r="K54" s="34"/>
    </row>
    <row r="55" spans="1:11" x14ac:dyDescent="0.35">
      <c r="A55" s="32">
        <v>2025.6869775521266</v>
      </c>
      <c r="B55" s="32">
        <v>365.3119754821376</v>
      </c>
      <c r="C55" s="33">
        <v>1</v>
      </c>
      <c r="D55" s="34">
        <v>132.25265393414494</v>
      </c>
      <c r="E55" s="34">
        <v>1140609217.0321939</v>
      </c>
      <c r="G55" s="32"/>
      <c r="H55" s="32"/>
      <c r="I55" s="33"/>
      <c r="J55" s="34"/>
      <c r="K55" s="34"/>
    </row>
    <row r="56" spans="1:11" x14ac:dyDescent="0.35">
      <c r="A56" s="32">
        <v>2253.0417374773765</v>
      </c>
      <c r="B56" s="32">
        <v>379.82857953572835</v>
      </c>
      <c r="C56" s="33">
        <v>1</v>
      </c>
      <c r="D56" s="34">
        <v>143.27370842864869</v>
      </c>
      <c r="E56" s="34">
        <v>1200143861.9313612</v>
      </c>
      <c r="G56" s="32"/>
      <c r="H56" s="32"/>
      <c r="I56" s="33"/>
      <c r="J56" s="34"/>
      <c r="K56" s="34"/>
    </row>
    <row r="57" spans="1:11" x14ac:dyDescent="0.35">
      <c r="A57" s="32">
        <v>2440.2224013526393</v>
      </c>
      <c r="B57" s="32">
        <v>388.61149525362788</v>
      </c>
      <c r="C57" s="33">
        <v>1</v>
      </c>
      <c r="D57" s="34">
        <v>154.29476292315243</v>
      </c>
      <c r="E57" s="34">
        <v>1267470398.9980812</v>
      </c>
      <c r="G57" s="32"/>
      <c r="H57" s="32"/>
      <c r="I57" s="33"/>
      <c r="J57" s="34"/>
      <c r="K57" s="34"/>
    </row>
    <row r="58" spans="1:11" x14ac:dyDescent="0.35">
      <c r="A58" s="32">
        <v>2616.6838972824753</v>
      </c>
      <c r="B58" s="32">
        <v>394.60621544629225</v>
      </c>
      <c r="C58" s="33">
        <v>1</v>
      </c>
      <c r="D58" s="34">
        <v>165.31581741765618</v>
      </c>
      <c r="E58" s="34">
        <v>1343419882.8894515</v>
      </c>
      <c r="G58" s="32"/>
      <c r="H58" s="32"/>
      <c r="I58" s="33"/>
      <c r="J58" s="34"/>
      <c r="K58" s="34"/>
    </row>
    <row r="59" spans="1:11" x14ac:dyDescent="0.35">
      <c r="A59" s="32">
        <v>2793.1453932123113</v>
      </c>
      <c r="B59" s="32">
        <v>398.88465690826411</v>
      </c>
      <c r="C59" s="33">
        <v>1</v>
      </c>
      <c r="D59" s="34">
        <v>176.33687191215992</v>
      </c>
      <c r="E59" s="34">
        <v>1428787165.5406785</v>
      </c>
      <c r="G59" s="32"/>
      <c r="H59" s="32"/>
      <c r="I59" s="33"/>
      <c r="J59" s="34"/>
      <c r="K59" s="34"/>
    </row>
    <row r="60" spans="1:11" x14ac:dyDescent="0.35">
      <c r="A60" s="32">
        <v>2969.6068891421473</v>
      </c>
      <c r="B60" s="32">
        <v>401.44681963954338</v>
      </c>
      <c r="C60" s="33">
        <v>1</v>
      </c>
      <c r="D60" s="34">
        <v>187.35792640666367</v>
      </c>
      <c r="E60" s="34">
        <v>1524340489.3767571</v>
      </c>
      <c r="G60" s="32"/>
      <c r="H60" s="32"/>
      <c r="I60" s="33"/>
      <c r="J60" s="34"/>
      <c r="K60" s="34"/>
    </row>
    <row r="61" spans="1:11" x14ac:dyDescent="0.35">
      <c r="A61" s="32">
        <v>3146.0683850719834</v>
      </c>
      <c r="B61" s="32">
        <v>402.29270364013018</v>
      </c>
      <c r="C61" s="33">
        <v>1</v>
      </c>
      <c r="D61" s="34">
        <v>198.37898090116741</v>
      </c>
      <c r="E61" s="34">
        <v>1630828183.5750325</v>
      </c>
      <c r="G61" s="32"/>
      <c r="H61" s="32"/>
      <c r="I61" s="33"/>
      <c r="J61" s="34"/>
      <c r="K61" s="34"/>
    </row>
    <row r="62" spans="1:11" x14ac:dyDescent="0.35">
      <c r="A62" s="32">
        <v>3384.4212810104586</v>
      </c>
      <c r="B62" s="32">
        <v>393.68588390894467</v>
      </c>
      <c r="C62" s="33">
        <v>1</v>
      </c>
      <c r="D62" s="34">
        <v>209.40003539567115</v>
      </c>
      <c r="E62" s="34">
        <v>1748983435.0933845</v>
      </c>
      <c r="G62" s="32"/>
      <c r="H62" s="32"/>
      <c r="I62" s="33"/>
      <c r="J62" s="34"/>
      <c r="K62" s="34"/>
    </row>
    <row r="63" spans="1:11" x14ac:dyDescent="0.35">
      <c r="A63" s="32">
        <v>3644.4548736064912</v>
      </c>
      <c r="B63" s="32">
        <v>380.65269836487175</v>
      </c>
      <c r="C63" s="33">
        <v>1</v>
      </c>
      <c r="D63" s="34">
        <v>220.4210898901749</v>
      </c>
      <c r="E63" s="34">
        <v>1879527750.7101276</v>
      </c>
      <c r="G63" s="32"/>
      <c r="H63" s="32"/>
      <c r="I63" s="33"/>
      <c r="J63" s="34"/>
      <c r="K63" s="34"/>
    </row>
    <row r="64" spans="1:11" x14ac:dyDescent="0.35">
      <c r="A64" s="32">
        <v>3896.5292189009851</v>
      </c>
      <c r="B64" s="32">
        <v>366.89814000279887</v>
      </c>
      <c r="C64" s="33">
        <v>1</v>
      </c>
      <c r="D64" s="34">
        <v>231.44214438467864</v>
      </c>
      <c r="E64" s="34">
        <v>2023173510.7467206</v>
      </c>
      <c r="G64" s="32"/>
      <c r="H64" s="32"/>
      <c r="I64" s="33"/>
      <c r="J64" s="34"/>
      <c r="K64" s="34"/>
    </row>
    <row r="65" spans="1:11" x14ac:dyDescent="0.35">
      <c r="A65" s="32">
        <v>4141.7296687986945</v>
      </c>
      <c r="B65" s="32">
        <v>352.28653983463153</v>
      </c>
      <c r="C65" s="33">
        <v>1</v>
      </c>
      <c r="D65" s="34">
        <v>242.46319887918239</v>
      </c>
      <c r="E65" s="34">
        <v>2180625880.8539352</v>
      </c>
      <c r="G65" s="32"/>
      <c r="H65" s="32"/>
      <c r="I65" s="33"/>
      <c r="J65" s="34"/>
      <c r="K65" s="34"/>
    </row>
    <row r="66" spans="1:11" x14ac:dyDescent="0.35">
      <c r="A66" s="32">
        <v>4380.952818351373</v>
      </c>
      <c r="B66" s="32">
        <v>336.70582347890036</v>
      </c>
      <c r="C66" s="33">
        <v>1</v>
      </c>
      <c r="D66" s="34">
        <v>253.48425337368613</v>
      </c>
      <c r="E66" s="34">
        <v>2352584262.5510626</v>
      </c>
      <c r="G66" s="32"/>
      <c r="H66" s="32"/>
      <c r="I66" s="33"/>
      <c r="J66" s="34"/>
      <c r="K66" s="34"/>
    </row>
    <row r="67" spans="1:11" x14ac:dyDescent="0.35">
      <c r="A67" s="32">
        <v>4614.9458301021514</v>
      </c>
      <c r="B67" s="32">
        <v>320.06259561771435</v>
      </c>
      <c r="C67" s="33">
        <v>1</v>
      </c>
      <c r="D67" s="34">
        <v>264.5053078681899</v>
      </c>
      <c r="E67" s="34">
        <v>2539743407.3292418</v>
      </c>
      <c r="G67" s="32"/>
      <c r="H67" s="32"/>
      <c r="I67" s="33"/>
      <c r="J67" s="34"/>
      <c r="K67" s="34"/>
    </row>
    <row r="68" spans="1:11" x14ac:dyDescent="0.35">
      <c r="A68" s="32">
        <v>4844.3363205872565</v>
      </c>
      <c r="B68" s="32">
        <v>302.27840418404503</v>
      </c>
      <c r="C68" s="33">
        <v>1</v>
      </c>
      <c r="D68" s="34">
        <v>275.52636236269365</v>
      </c>
      <c r="E68" s="34">
        <v>2742794281.9685111</v>
      </c>
      <c r="G68" s="32"/>
      <c r="H68" s="32"/>
      <c r="I68" s="33"/>
      <c r="J68" s="34"/>
      <c r="K68" s="34"/>
    </row>
    <row r="69" spans="1:11" x14ac:dyDescent="0.35">
      <c r="A69" s="32">
        <v>5069.6553499527263</v>
      </c>
      <c r="B69" s="32">
        <v>283.28686665963761</v>
      </c>
      <c r="C69" s="33">
        <v>1</v>
      </c>
      <c r="D69" s="34">
        <v>286.54741685719739</v>
      </c>
      <c r="E69" s="34">
        <v>2962424747.5576997</v>
      </c>
      <c r="G69" s="32"/>
      <c r="H69" s="32"/>
      <c r="I69" s="33"/>
      <c r="J69" s="34"/>
      <c r="K69" s="34"/>
    </row>
    <row r="70" spans="1:11" x14ac:dyDescent="0.35">
      <c r="A70" s="32">
        <v>5291.3553027674079</v>
      </c>
      <c r="B70" s="32">
        <v>263.0314349733859</v>
      </c>
      <c r="C70" s="33">
        <v>1</v>
      </c>
      <c r="D70" s="34">
        <v>297.56847135170113</v>
      </c>
      <c r="E70" s="34">
        <v>3199320097.389586</v>
      </c>
      <c r="G70" s="32"/>
      <c r="H70" s="32"/>
      <c r="I70" s="33"/>
      <c r="J70" s="34"/>
      <c r="K70" s="34"/>
    </row>
    <row r="71" spans="1:11" x14ac:dyDescent="0.35">
      <c r="A71" s="32">
        <v>5509.8239372331755</v>
      </c>
      <c r="B71" s="32">
        <v>241.46363935005641</v>
      </c>
      <c r="C71" s="33">
        <v>1</v>
      </c>
      <c r="D71" s="34">
        <v>308.58952584620488</v>
      </c>
      <c r="E71" s="34">
        <v>3315511363.0119209</v>
      </c>
      <c r="G71" s="32"/>
      <c r="H71" s="32"/>
      <c r="I71" s="33"/>
      <c r="J71" s="34"/>
      <c r="K71" s="34"/>
    </row>
    <row r="72" spans="1:11" x14ac:dyDescent="0.35">
      <c r="A72" s="32">
        <v>5725.3955276619818</v>
      </c>
      <c r="B72" s="32">
        <v>218.54169550065421</v>
      </c>
      <c r="C72" s="33">
        <v>1</v>
      </c>
      <c r="D72" s="34">
        <v>319.61058034070862</v>
      </c>
      <c r="E72" s="34">
        <v>3588622692.0917015</v>
      </c>
      <c r="G72" s="32"/>
      <c r="H72" s="32"/>
      <c r="I72" s="33"/>
      <c r="J72" s="34"/>
      <c r="K72" s="34"/>
    </row>
    <row r="73" spans="1:11" x14ac:dyDescent="0.35">
      <c r="A73" s="32">
        <v>5938.3600000000015</v>
      </c>
      <c r="B73" s="32">
        <v>194.22939037494456</v>
      </c>
      <c r="C73" s="33">
        <v>1</v>
      </c>
      <c r="D73" s="34">
        <v>330.63163483511238</v>
      </c>
      <c r="E73" s="34">
        <v>3881065587.2371917</v>
      </c>
      <c r="G73" s="32"/>
      <c r="H73" s="32"/>
      <c r="I73" s="33"/>
      <c r="J73" s="34"/>
      <c r="K73" s="34"/>
    </row>
    <row r="74" spans="1:11" x14ac:dyDescent="0.35">
      <c r="A74" s="32">
        <v>5938.3600000000015</v>
      </c>
      <c r="B74" s="32">
        <v>0</v>
      </c>
      <c r="C74" s="33">
        <v>1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E1:H2"/>
    <mergeCell ref="E3:H4"/>
    <mergeCell ref="A1:C2"/>
  </mergeCells>
  <hyperlinks>
    <hyperlink ref="B3" r:id="rId1" display="WeldGroup" xr:uid="{EDD87103-B2E4-4193-A6C2-5542F0C4CFB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ecb452-595f-4b09-9a2b-5821f34c1115">
      <Terms xmlns="http://schemas.microsoft.com/office/infopath/2007/PartnerControls"/>
    </lcf76f155ced4ddcb4097134ff3c332f>
    <TaxCatchAll xmlns="e71b708c-f31f-4bef-8390-69ad37fbb32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21B64E865AF049B20A5C3366A924EB" ma:contentTypeVersion="13" ma:contentTypeDescription="Create a new document." ma:contentTypeScope="" ma:versionID="2db897fd7638951ede3161f8f25e5bd6">
  <xsd:schema xmlns:xsd="http://www.w3.org/2001/XMLSchema" xmlns:xs="http://www.w3.org/2001/XMLSchema" xmlns:p="http://schemas.microsoft.com/office/2006/metadata/properties" xmlns:ns2="0cecb452-595f-4b09-9a2b-5821f34c1115" xmlns:ns3="e71b708c-f31f-4bef-8390-69ad37fbb32e" targetNamespace="http://schemas.microsoft.com/office/2006/metadata/properties" ma:root="true" ma:fieldsID="baf91899a129946f5d55dff89d199a2d" ns2:_="" ns3:_="">
    <xsd:import namespace="0cecb452-595f-4b09-9a2b-5821f34c1115"/>
    <xsd:import namespace="e71b708c-f31f-4bef-8390-69ad37fbb3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cb452-595f-4b09-9a2b-5821f34c1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66aa50-2606-4bee-b14b-7e98c91f2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b708c-f31f-4bef-8390-69ad37fbb3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034ae9-e890-46f2-b76b-2ab1a6db0394}" ma:internalName="TaxCatchAll" ma:showField="CatchAllData" ma:web="e71b708c-f31f-4bef-8390-69ad37fbb3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3AE424-46B0-46B1-827C-9D4B72E27C69}">
  <ds:schemaRefs>
    <ds:schemaRef ds:uri="http://schemas.microsoft.com/office/2006/metadata/properties"/>
    <ds:schemaRef ds:uri="http://schemas.microsoft.com/office/infopath/2007/PartnerControls"/>
    <ds:schemaRef ds:uri="0cecb452-595f-4b09-9a2b-5821f34c1115"/>
    <ds:schemaRef ds:uri="e71b708c-f31f-4bef-8390-69ad37fbb32e"/>
  </ds:schemaRefs>
</ds:datastoreItem>
</file>

<file path=customXml/itemProps2.xml><?xml version="1.0" encoding="utf-8"?>
<ds:datastoreItem xmlns:ds="http://schemas.openxmlformats.org/officeDocument/2006/customXml" ds:itemID="{EC8B64E5-A284-467D-B727-B03C2E5694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cb452-595f-4b09-9a2b-5821f34c1115"/>
    <ds:schemaRef ds:uri="e71b708c-f31f-4bef-8390-69ad37fbb3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71DA54-4C7B-422C-B65D-DD29B2874F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10M-200</vt:lpstr>
      <vt:lpstr>15M-200</vt:lpstr>
      <vt:lpstr>20M-200</vt:lpstr>
      <vt:lpstr>T15-B20M-200</vt:lpstr>
      <vt:lpstr>25M-200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Rivero, Ignacio</dc:creator>
  <cp:lastModifiedBy>Rivero, Ignacio</cp:lastModifiedBy>
  <dcterms:created xsi:type="dcterms:W3CDTF">2015-06-05T18:17:20Z</dcterms:created>
  <dcterms:modified xsi:type="dcterms:W3CDTF">2026-05-13T07:31:41Z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0x0101004121B64E865AF049B20A5C3366A924EB</vt:lpwstr>
  </property>
  <property fmtid="{D5CDD505-2E9C-101B-9397-08002B2CF9AE}" pid="3" name="MediaServiceImageTags">
    <vt:lpwstr/>
  </property>
</Properties>
</file>