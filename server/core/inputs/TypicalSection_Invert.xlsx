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ecom.sharepoint.com/sites/EC_OLN/Shared Documents/General/400_Technical/440_Ground Engineering/04_Bain Adit/03_SPREADSHEETS/Sections capacity/"/>
    </mc:Choice>
  </mc:AlternateContent>
  <xr:revisionPtr revIDLastSave="172" documentId="11_6C29626A1759473254BC012AF90B1AF2CCA0C7C3" xr6:coauthVersionLast="47" xr6:coauthVersionMax="47" xr10:uidLastSave="{3FA45132-8288-468E-83E8-18BEAEF05866}"/>
  <bookViews>
    <workbookView xWindow="-110" yWindow="-110" windowWidth="19420" windowHeight="11500" firstSheet="4" activeTab="6" xr2:uid="{00000000-000D-0000-FFFF-FFFF00000000}"/>
  </bookViews>
  <sheets>
    <sheet name="15M-200" sheetId="2" r:id="rId1"/>
    <sheet name="20M-200" sheetId="5" r:id="rId2"/>
    <sheet name="25M-200" sheetId="3" r:id="rId3"/>
    <sheet name="15M-200_central" sheetId="6" r:id="rId4"/>
    <sheet name="20M-200_central" sheetId="12" r:id="rId5"/>
    <sheet name="B20M-T25M-200_central" sheetId="13" r:id="rId6"/>
    <sheet name="B20M-150-T25M-200_central" sheetId="14" r:id="rId7"/>
    <sheet name="25M-200_central" sheetId="11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UnitForce">IF(Units="US","kip","kN")</definedName>
    <definedName name="UnitLength">IF(Units="US","in","mm")</definedName>
    <definedName name="UnitMoment">IF(Units="US","kip-ft","kN-M")</definedName>
    <definedName name="Units">[1]Calculations!$AJ$10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4" l="1"/>
  <c r="J9" i="14"/>
  <c r="H9" i="14"/>
  <c r="G9" i="14"/>
  <c r="E9" i="14"/>
  <c r="D9" i="14"/>
  <c r="B9" i="14"/>
  <c r="A9" i="14"/>
  <c r="B4" i="14"/>
  <c r="J3" i="14"/>
  <c r="E3" i="14"/>
  <c r="J2" i="14"/>
  <c r="J1" i="14"/>
  <c r="E1" i="14"/>
  <c r="A1" i="14"/>
  <c r="J4" i="14" l="1"/>
  <c r="K9" i="13" l="1"/>
  <c r="J9" i="13"/>
  <c r="H9" i="13"/>
  <c r="G9" i="13"/>
  <c r="E9" i="13"/>
  <c r="D9" i="13"/>
  <c r="B9" i="13"/>
  <c r="A9" i="13"/>
  <c r="B4" i="13"/>
  <c r="J3" i="13"/>
  <c r="E3" i="13"/>
  <c r="J2" i="13"/>
  <c r="J1" i="13"/>
  <c r="E1" i="13"/>
  <c r="A1" i="13"/>
  <c r="A10" i="3"/>
  <c r="C10" i="3"/>
  <c r="D10" i="3"/>
  <c r="E10" i="3"/>
  <c r="B10" i="3"/>
  <c r="K9" i="3"/>
  <c r="J9" i="3"/>
  <c r="H9" i="3"/>
  <c r="G9" i="3"/>
  <c r="E9" i="3"/>
  <c r="D9" i="3"/>
  <c r="B9" i="3"/>
  <c r="A9" i="3"/>
  <c r="B4" i="3"/>
  <c r="J3" i="3"/>
  <c r="E3" i="3"/>
  <c r="J2" i="3"/>
  <c r="J1" i="3"/>
  <c r="E1" i="3"/>
  <c r="A1" i="3"/>
  <c r="J4" i="3" l="1"/>
  <c r="A10" i="6" l="1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11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B11" i="6"/>
  <c r="C11" i="6"/>
  <c r="D11" i="6"/>
  <c r="B12" i="6"/>
  <c r="C12" i="6"/>
  <c r="D12" i="6"/>
  <c r="B13" i="6"/>
  <c r="C13" i="6"/>
  <c r="D13" i="6"/>
  <c r="B14" i="6"/>
  <c r="C14" i="6"/>
  <c r="D14" i="6"/>
  <c r="B15" i="6"/>
  <c r="C15" i="6"/>
  <c r="D15" i="6"/>
  <c r="B16" i="6"/>
  <c r="C16" i="6"/>
  <c r="D16" i="6"/>
  <c r="B17" i="6"/>
  <c r="C17" i="6"/>
  <c r="D17" i="6"/>
  <c r="B18" i="6"/>
  <c r="C18" i="6"/>
  <c r="D18" i="6"/>
  <c r="B19" i="6"/>
  <c r="C19" i="6"/>
  <c r="D19" i="6"/>
  <c r="B20" i="6"/>
  <c r="C20" i="6"/>
  <c r="D20" i="6"/>
  <c r="B21" i="6"/>
  <c r="C21" i="6"/>
  <c r="D21" i="6"/>
  <c r="B22" i="6"/>
  <c r="C22" i="6"/>
  <c r="D22" i="6"/>
  <c r="B23" i="6"/>
  <c r="C23" i="6"/>
  <c r="D23" i="6"/>
  <c r="B24" i="6"/>
  <c r="C24" i="6"/>
  <c r="D24" i="6"/>
  <c r="B25" i="6"/>
  <c r="C25" i="6"/>
  <c r="D25" i="6"/>
  <c r="B26" i="6"/>
  <c r="C26" i="6"/>
  <c r="D26" i="6"/>
  <c r="B27" i="6"/>
  <c r="C27" i="6"/>
  <c r="D27" i="6"/>
  <c r="B28" i="6"/>
  <c r="C28" i="6"/>
  <c r="D28" i="6"/>
  <c r="B29" i="6"/>
  <c r="C29" i="6"/>
  <c r="D29" i="6"/>
  <c r="B30" i="6"/>
  <c r="C30" i="6"/>
  <c r="D30" i="6"/>
  <c r="B31" i="6"/>
  <c r="C31" i="6"/>
  <c r="D31" i="6"/>
  <c r="B32" i="6"/>
  <c r="C32" i="6"/>
  <c r="D32" i="6"/>
  <c r="B33" i="6"/>
  <c r="C33" i="6"/>
  <c r="D33" i="6"/>
  <c r="B34" i="6"/>
  <c r="C34" i="6"/>
  <c r="D34" i="6"/>
  <c r="B35" i="6"/>
  <c r="C35" i="6"/>
  <c r="D35" i="6"/>
  <c r="B36" i="6"/>
  <c r="C36" i="6"/>
  <c r="D36" i="6"/>
  <c r="B37" i="6"/>
  <c r="C37" i="6"/>
  <c r="D37" i="6"/>
  <c r="B38" i="6"/>
  <c r="C38" i="6"/>
  <c r="D38" i="6"/>
  <c r="B39" i="6"/>
  <c r="C39" i="6"/>
  <c r="D39" i="6"/>
  <c r="B40" i="6"/>
  <c r="C40" i="6"/>
  <c r="D40" i="6"/>
  <c r="C10" i="6"/>
  <c r="D10" i="6"/>
  <c r="E10" i="6"/>
  <c r="B10" i="6"/>
  <c r="K9" i="6"/>
  <c r="J9" i="6"/>
  <c r="H9" i="6"/>
  <c r="G9" i="6"/>
  <c r="E9" i="6"/>
  <c r="D9" i="6"/>
  <c r="B9" i="6"/>
  <c r="A9" i="6"/>
  <c r="B4" i="6"/>
  <c r="J3" i="6"/>
  <c r="E3" i="6"/>
  <c r="J2" i="6"/>
  <c r="J1" i="6"/>
  <c r="E1" i="6"/>
  <c r="A1" i="6"/>
  <c r="C10" i="12"/>
  <c r="D10" i="12"/>
  <c r="E10" i="12"/>
  <c r="B10" i="12"/>
  <c r="A12" i="12"/>
  <c r="B12" i="12"/>
  <c r="C12" i="12"/>
  <c r="D12" i="12"/>
  <c r="E12" i="12"/>
  <c r="A13" i="12"/>
  <c r="B13" i="12"/>
  <c r="C13" i="12"/>
  <c r="D13" i="12"/>
  <c r="E13" i="12"/>
  <c r="A14" i="12"/>
  <c r="B14" i="12"/>
  <c r="C14" i="12"/>
  <c r="D14" i="12"/>
  <c r="E14" i="12"/>
  <c r="A15" i="12"/>
  <c r="B15" i="12"/>
  <c r="C15" i="12"/>
  <c r="D15" i="12"/>
  <c r="E15" i="12"/>
  <c r="A16" i="12"/>
  <c r="B16" i="12"/>
  <c r="C16" i="12"/>
  <c r="D16" i="12"/>
  <c r="E16" i="12"/>
  <c r="A17" i="12"/>
  <c r="B17" i="12"/>
  <c r="C17" i="12"/>
  <c r="D17" i="12"/>
  <c r="E17" i="12"/>
  <c r="A18" i="12"/>
  <c r="B18" i="12"/>
  <c r="C18" i="12"/>
  <c r="D18" i="12"/>
  <c r="E18" i="12"/>
  <c r="A19" i="12"/>
  <c r="B19" i="12"/>
  <c r="C19" i="12"/>
  <c r="D19" i="12"/>
  <c r="E19" i="12"/>
  <c r="A20" i="12"/>
  <c r="B20" i="12"/>
  <c r="C20" i="12"/>
  <c r="D20" i="12"/>
  <c r="E20" i="12"/>
  <c r="A21" i="12"/>
  <c r="B21" i="12"/>
  <c r="C21" i="12"/>
  <c r="D21" i="12"/>
  <c r="E21" i="12"/>
  <c r="A22" i="12"/>
  <c r="B22" i="12"/>
  <c r="C22" i="12"/>
  <c r="D22" i="12"/>
  <c r="E22" i="12"/>
  <c r="A23" i="12"/>
  <c r="B23" i="12"/>
  <c r="C23" i="12"/>
  <c r="D23" i="12"/>
  <c r="E23" i="12"/>
  <c r="A24" i="12"/>
  <c r="B24" i="12"/>
  <c r="C24" i="12"/>
  <c r="D24" i="12"/>
  <c r="E24" i="12"/>
  <c r="A25" i="12"/>
  <c r="B25" i="12"/>
  <c r="C25" i="12"/>
  <c r="D25" i="12"/>
  <c r="E25" i="12"/>
  <c r="A26" i="12"/>
  <c r="B26" i="12"/>
  <c r="C26" i="12"/>
  <c r="D26" i="12"/>
  <c r="E26" i="12"/>
  <c r="A27" i="12"/>
  <c r="B27" i="12"/>
  <c r="C27" i="12"/>
  <c r="D27" i="12"/>
  <c r="E27" i="12"/>
  <c r="A28" i="12"/>
  <c r="B28" i="12"/>
  <c r="C28" i="12"/>
  <c r="D28" i="12"/>
  <c r="E28" i="12"/>
  <c r="A29" i="12"/>
  <c r="B29" i="12"/>
  <c r="C29" i="12"/>
  <c r="D29" i="12"/>
  <c r="E29" i="12"/>
  <c r="A30" i="12"/>
  <c r="B30" i="12"/>
  <c r="C30" i="12"/>
  <c r="D30" i="12"/>
  <c r="E30" i="12"/>
  <c r="A31" i="12"/>
  <c r="B31" i="12"/>
  <c r="C31" i="12"/>
  <c r="D31" i="12"/>
  <c r="E31" i="12"/>
  <c r="A32" i="12"/>
  <c r="B32" i="12"/>
  <c r="C32" i="12"/>
  <c r="D32" i="12"/>
  <c r="E32" i="12"/>
  <c r="A33" i="12"/>
  <c r="B33" i="12"/>
  <c r="C33" i="12"/>
  <c r="D33" i="12"/>
  <c r="E33" i="12"/>
  <c r="A34" i="12"/>
  <c r="B34" i="12"/>
  <c r="C34" i="12"/>
  <c r="D34" i="12"/>
  <c r="E34" i="12"/>
  <c r="A35" i="12"/>
  <c r="B35" i="12"/>
  <c r="C35" i="12"/>
  <c r="D35" i="12"/>
  <c r="E35" i="12"/>
  <c r="A36" i="12"/>
  <c r="B36" i="12"/>
  <c r="C36" i="12"/>
  <c r="D36" i="12"/>
  <c r="E36" i="12"/>
  <c r="A37" i="12"/>
  <c r="B37" i="12"/>
  <c r="C37" i="12"/>
  <c r="D37" i="12"/>
  <c r="E37" i="12"/>
  <c r="A38" i="12"/>
  <c r="B38" i="12"/>
  <c r="C38" i="12"/>
  <c r="D38" i="12"/>
  <c r="E38" i="12"/>
  <c r="A39" i="12"/>
  <c r="B39" i="12"/>
  <c r="C39" i="12"/>
  <c r="D39" i="12"/>
  <c r="E39" i="12"/>
  <c r="A40" i="12"/>
  <c r="B40" i="12"/>
  <c r="C40" i="12"/>
  <c r="D40" i="12"/>
  <c r="E40" i="12"/>
  <c r="B11" i="12"/>
  <c r="C11" i="12"/>
  <c r="D11" i="12"/>
  <c r="E11" i="12"/>
  <c r="A11" i="12"/>
  <c r="A10" i="12" a="1"/>
  <c r="A10" i="12" s="1"/>
  <c r="K9" i="11"/>
  <c r="J9" i="11"/>
  <c r="H9" i="11"/>
  <c r="G9" i="11"/>
  <c r="E9" i="11"/>
  <c r="D9" i="11"/>
  <c r="B9" i="11"/>
  <c r="A9" i="11"/>
  <c r="J4" i="11"/>
  <c r="B4" i="11"/>
  <c r="J3" i="11"/>
  <c r="E3" i="11"/>
  <c r="J2" i="11"/>
  <c r="J1" i="11"/>
  <c r="E1" i="11"/>
  <c r="A1" i="11"/>
  <c r="K9" i="12"/>
  <c r="J9" i="12"/>
  <c r="H9" i="12"/>
  <c r="G9" i="12"/>
  <c r="E9" i="12"/>
  <c r="D9" i="12"/>
  <c r="B9" i="12"/>
  <c r="A9" i="12"/>
  <c r="B4" i="12"/>
  <c r="J3" i="12"/>
  <c r="E3" i="12"/>
  <c r="J2" i="12"/>
  <c r="J1" i="12"/>
  <c r="E1" i="12"/>
  <c r="A1" i="12"/>
  <c r="J4" i="6" l="1"/>
  <c r="J4" i="12" l="1"/>
  <c r="K9" i="5" l="1"/>
  <c r="J9" i="5"/>
  <c r="H9" i="5"/>
  <c r="G9" i="5"/>
  <c r="E9" i="5"/>
  <c r="D9" i="5"/>
  <c r="B9" i="5"/>
  <c r="A9" i="5"/>
  <c r="B4" i="5"/>
  <c r="J3" i="5"/>
  <c r="E3" i="5"/>
  <c r="J2" i="5"/>
  <c r="J1" i="5"/>
  <c r="E1" i="5"/>
  <c r="A1" i="5"/>
  <c r="A1" i="2"/>
  <c r="E1" i="2"/>
  <c r="J1" i="2"/>
  <c r="J2" i="2"/>
  <c r="E3" i="2"/>
  <c r="J3" i="2"/>
  <c r="B4" i="2"/>
  <c r="J4" i="2"/>
  <c r="A9" i="2"/>
  <c r="B9" i="2"/>
  <c r="D9" i="2"/>
  <c r="E9" i="2"/>
  <c r="G9" i="2"/>
  <c r="H9" i="2"/>
  <c r="J9" i="2"/>
  <c r="K9" i="2"/>
  <c r="J4" i="5" l="1"/>
  <c r="J4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<sst xmlns="http://schemas.openxmlformats.org/spreadsheetml/2006/main" count="144" uniqueCount="14">
  <si>
    <t xml:space="preserve"> Project:</t>
  </si>
  <si>
    <t xml:space="preserve"> Engineer:</t>
  </si>
  <si>
    <t xml:space="preserve"> Date:</t>
  </si>
  <si>
    <t>ShortCol</t>
  </si>
  <si>
    <t xml:space="preserve"> Subject:</t>
  </si>
  <si>
    <t xml:space="preserve"> Checker:</t>
  </si>
  <si>
    <t>Axial Force/Moment Interaction Diagram</t>
  </si>
  <si>
    <r>
      <t>φP</t>
    </r>
    <r>
      <rPr>
        <vertAlign val="subscript"/>
        <sz val="10"/>
        <rFont val="Arial"/>
        <family val="2"/>
      </rPr>
      <t>n</t>
    </r>
  </si>
  <si>
    <r>
      <t>φM</t>
    </r>
    <r>
      <rPr>
        <vertAlign val="subscript"/>
        <sz val="10"/>
        <rFont val="Arial"/>
        <family val="2"/>
      </rPr>
      <t>ny</t>
    </r>
  </si>
  <si>
    <t>φ</t>
  </si>
  <si>
    <t>N/A from
compression face</t>
  </si>
  <si>
    <t>Cracked moment inertia Icr</t>
  </si>
  <si>
    <r>
      <t>φM</t>
    </r>
    <r>
      <rPr>
        <vertAlign val="subscript"/>
        <sz val="10"/>
        <rFont val="Arial"/>
        <family val="2"/>
      </rPr>
      <t>nz</t>
    </r>
  </si>
  <si>
    <t>N/A from
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</si>
</sst>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indexed="12"/>
      <name val="Tahoma"/>
      <family val="2"/>
    </font>
    <font>
      <sz val="12"/>
      <name val="Tahoma"/>
      <family val="2"/>
    </font>
    <font>
      <sz val="8"/>
      <name val="Arial"/>
      <family val="2"/>
    </font>
    <font>
      <sz val="10"/>
      <color indexed="12"/>
      <name val="Tahoma"/>
      <family val="2"/>
    </font>
    <font>
      <sz val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8"/>
      <name val="Tahoma"/>
      <family val="2"/>
    </font>
    <font>
      <b/>
      <sz val="10"/>
      <name val="Arial"/>
      <family val="2"/>
    </font>
    <font>
      <b/>
      <sz val="10"/>
      <color indexed="12"/>
      <name val="Tahoma"/>
      <family val="2"/>
    </font>
    <font>
      <b/>
      <sz val="14"/>
      <name val="Franklin Gothic Book"/>
      <family val="2"/>
    </font>
    <font>
      <vertAlign val="subscript"/>
      <sz val="10"/>
      <name val="Arial"/>
      <family val="2"/>
    </font>
    <font>
      <sz val="12"/>
      <name val="Arial"/>
      <family val="2"/>
    </font>
    <font>
      <sz val="10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6">
    <xf numFmtId="0" fontId="0" fillId="0" borderId="0" xfId="0"/>
    <xf numFmtId="0" fontId="4" fillId="2" borderId="4" xfId="0" applyFont="1" applyFill="1" applyBorder="1" applyAlignment="1">
      <alignment vertical="center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>
      <alignment vertical="center"/>
    </xf>
    <xf numFmtId="0" fontId="4" fillId="2" borderId="9" xfId="0" applyFont="1" applyFill="1" applyBorder="1" applyProtection="1">
      <protection locked="0"/>
    </xf>
    <xf numFmtId="0" fontId="4" fillId="2" borderId="9" xfId="0" applyFont="1" applyFill="1" applyBorder="1" applyAlignment="1">
      <alignment vertical="center"/>
    </xf>
    <xf numFmtId="164" fontId="5" fillId="2" borderId="7" xfId="0" applyNumberFormat="1" applyFont="1" applyFill="1" applyBorder="1" applyAlignment="1" applyProtection="1">
      <alignment horizontal="center" vertical="center"/>
      <protection locked="0"/>
    </xf>
    <xf numFmtId="0" fontId="7" fillId="2" borderId="10" xfId="0" quotePrefix="1" applyFont="1" applyFill="1" applyBorder="1" applyAlignment="1" applyProtection="1">
      <alignment horizontal="center" vertical="center"/>
      <protection locked="0"/>
    </xf>
    <xf numFmtId="0" fontId="8" fillId="3" borderId="11" xfId="0" applyFont="1" applyFill="1" applyBorder="1"/>
    <xf numFmtId="0" fontId="9" fillId="3" borderId="12" xfId="1" applyFont="1" applyFill="1" applyBorder="1" applyAlignment="1" applyProtection="1">
      <alignment horizontal="center"/>
    </xf>
    <xf numFmtId="0" fontId="10" fillId="3" borderId="13" xfId="0" applyFont="1" applyFill="1" applyBorder="1"/>
    <xf numFmtId="0" fontId="4" fillId="2" borderId="11" xfId="0" applyFont="1" applyFill="1" applyBorder="1" applyAlignment="1">
      <alignment vertical="center"/>
    </xf>
    <xf numFmtId="0" fontId="11" fillId="2" borderId="12" xfId="0" applyFont="1" applyFill="1" applyBorder="1" applyAlignment="1" applyProtection="1">
      <alignment horizontal="center" vertical="center"/>
      <protection locked="0"/>
    </xf>
    <xf numFmtId="0" fontId="6" fillId="2" borderId="14" xfId="0" applyFont="1" applyFill="1" applyBorder="1" applyAlignment="1">
      <alignment vertical="center"/>
    </xf>
    <xf numFmtId="0" fontId="8" fillId="3" borderId="9" xfId="0" applyFont="1" applyFill="1" applyBorder="1"/>
    <xf numFmtId="0" fontId="9" fillId="3" borderId="7" xfId="0" applyFont="1" applyFill="1" applyBorder="1" applyAlignment="1">
      <alignment horizontal="center"/>
    </xf>
    <xf numFmtId="0" fontId="10" fillId="3" borderId="8" xfId="0" applyFont="1" applyFill="1" applyBorder="1"/>
    <xf numFmtId="0" fontId="4" fillId="2" borderId="15" xfId="0" applyFont="1" applyFill="1" applyBorder="1" applyProtection="1">
      <protection locked="0"/>
    </xf>
    <xf numFmtId="0" fontId="4" fillId="2" borderId="15" xfId="0" applyFont="1" applyFill="1" applyBorder="1" applyAlignment="1">
      <alignment vertical="center"/>
    </xf>
    <xf numFmtId="0" fontId="11" fillId="2" borderId="16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12" fillId="4" borderId="18" xfId="0" applyFont="1" applyFill="1" applyBorder="1" applyAlignment="1">
      <alignment horizontal="centerContinuous"/>
    </xf>
    <xf numFmtId="0" fontId="12" fillId="4" borderId="19" xfId="0" applyFont="1" applyFill="1" applyBorder="1" applyAlignment="1">
      <alignment horizontal="centerContinuous"/>
    </xf>
    <xf numFmtId="0" fontId="12" fillId="4" borderId="20" xfId="0" applyFont="1" applyFill="1" applyBorder="1" applyAlignment="1">
      <alignment horizontal="centerContinuous"/>
    </xf>
    <xf numFmtId="0" fontId="6" fillId="5" borderId="21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 wrapText="1"/>
    </xf>
    <xf numFmtId="0" fontId="15" fillId="5" borderId="21" xfId="0" applyFont="1" applyFill="1" applyBorder="1" applyAlignment="1">
      <alignment horizontal="center"/>
    </xf>
    <xf numFmtId="0" fontId="15" fillId="5" borderId="18" xfId="0" applyFont="1" applyFill="1" applyBorder="1" applyAlignment="1">
      <alignment horizontal="center"/>
    </xf>
    <xf numFmtId="0" fontId="0" fillId="5" borderId="22" xfId="0" applyFill="1" applyBorder="1"/>
    <xf numFmtId="0" fontId="15" fillId="5" borderId="22" xfId="0" applyFont="1" applyFill="1" applyBorder="1" applyAlignment="1">
      <alignment horizontal="center"/>
    </xf>
    <xf numFmtId="1" fontId="0" fillId="0" borderId="21" xfId="0" applyNumberFormat="1" applyBorder="1"/>
    <xf numFmtId="165" fontId="0" fillId="0" borderId="21" xfId="0" applyNumberFormat="1" applyBorder="1"/>
    <xf numFmtId="0" fontId="0" fillId="0" borderId="21" xfId="0" applyBorder="1"/>
    <xf numFmtId="0" fontId="12" fillId="4" borderId="18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/>
    </xf>
    <xf numFmtId="0" fontId="12" fillId="4" borderId="20" xfId="0" applyFont="1" applyFill="1" applyBorder="1" applyAlignment="1">
      <alignment horizontal="center"/>
    </xf>
    <xf numFmtId="11" fontId="0" fillId="0" borderId="21" xfId="0" applyNumberFormat="1" applyBorder="1"/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0" fontId="2" fillId="2" borderId="12" xfId="0" applyFont="1" applyFill="1" applyBorder="1" applyAlignment="1" applyProtection="1">
      <alignment horizontal="center" vertical="center" wrapText="1"/>
      <protection locked="0"/>
    </xf>
    <xf numFmtId="0" fontId="2" fillId="2" borderId="13" xfId="0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 wrapText="1"/>
      <protection locked="0"/>
    </xf>
    <xf numFmtId="0" fontId="2" fillId="2" borderId="23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com.sharepoint.com/sites/EC_OLN/Shared%20Documents/General/400_Technical/440_Ground%20Engineering/04_Bain%20Adit/03_SPREADSHEETS/Sections%20capacity/ShortCol_TypicalSection_10M-200.xlsb" TargetMode="External"/><Relationship Id="rId1" Type="http://schemas.openxmlformats.org/officeDocument/2006/relationships/externalLinkPath" Target="ShortCol_TypicalSection_10M-200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com.sharepoint.com/sites/EC_OLN/Shared%20Documents/General/400_Technical/440_Ground%20Engineering/04_Bain%20Adit/03_SPREADSHEETS/Sections%20capacity/ShortCol%20files/ShortCol_TypicalSection_Invert_15M-200.xlsb" TargetMode="External"/><Relationship Id="rId1" Type="http://schemas.openxmlformats.org/officeDocument/2006/relationships/externalLinkPath" Target="ShortCol%20files/ShortCol_TypicalSection_Invert_15M-200.xlsb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com.sharepoint.com/sites/EC_OLN/Shared%20Documents/General/400_Technical/440_Ground%20Engineering/04_Bain%20Adit/03_SPREADSHEETS/Sections%20capacity/ShortCol%20files/ShortCol_TypicalSection_Invert_20M-200.xlsb" TargetMode="External"/><Relationship Id="rId1" Type="http://schemas.openxmlformats.org/officeDocument/2006/relationships/externalLinkPath" Target="ShortCol%20files/ShortCol_TypicalSection_Invert_20M-200.xlsb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com.sharepoint.com/sites/EC_OLN/Shared%20Documents/General/400_Technical/440_Ground%20Engineering/04_Bain%20Adit/03_SPREADSHEETS/Sections%20capacity/ShortCol%20files/ShortCol_TypicalSection_Invert_25M-200.xlsb" TargetMode="External"/><Relationship Id="rId1" Type="http://schemas.openxmlformats.org/officeDocument/2006/relationships/externalLinkPath" Target="ShortCol%20files/ShortCol_TypicalSection_Invert_25M-200.xlsb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ecom.sharepoint.com/sites/EC_OLN/Shared%20Documents/General/400_Technical/440_Ground%20Engineering/04_Bain%20Adit/03_SPREADSHEETS/Sections%20capacity/ShortCol%20files/ShortCol_TypicalSection_Invert_15M-200%20-%20central.xlsb" TargetMode="External"/><Relationship Id="rId2" Type="http://schemas.microsoft.com/office/2019/04/relationships/externalLinkLongPath" Target="ShortCol%20files/ShortCol_TypicalSection_Invert_15M-200%20-%20central.xlsb?CBA75959" TargetMode="External"/><Relationship Id="rId1" Type="http://schemas.openxmlformats.org/officeDocument/2006/relationships/externalLinkPath" Target="file:///\\CBA75959\ShortCol_TypicalSection_Invert_15M-200%20-%20central.xlsb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ecom.sharepoint.com/sites/EC_OLN/Shared%20Documents/General/400_Technical/440_Ground%20Engineering/04_Bain%20Adit/03_SPREADSHEETS/Sections%20capacity/ShortCol%20files/ShortCol_TypicalSection_Invert_20M-200%20-%20central.xlsb" TargetMode="External"/><Relationship Id="rId2" Type="http://schemas.microsoft.com/office/2019/04/relationships/externalLinkLongPath" Target="ShortCol%20files/ShortCol_TypicalSection_Invert_20M-200%20-%20central.xlsb?CBA75959" TargetMode="External"/><Relationship Id="rId1" Type="http://schemas.openxmlformats.org/officeDocument/2006/relationships/externalLinkPath" Target="file:///\\CBA75959\ShortCol_TypicalSection_Invert_20M-200%20-%20central.xlsb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ecom.sharepoint.com/sites/EC_OLN/Shared%20Documents/General/400_Technical/440_Ground%20Engineering/04_Bain%20Adit/03_SPREADSHEETS/Sections%20capacity/ShortCol%20files/ShortCol_TypicalSection_Invert_25M-200%20-%20central.xlsb" TargetMode="External"/><Relationship Id="rId2" Type="http://schemas.microsoft.com/office/2019/04/relationships/externalLinkLongPath" Target="ShortCol%20files/ShortCol_TypicalSection_Invert_25M-200%20-%20central.xlsb?CBA75959" TargetMode="External"/><Relationship Id="rId1" Type="http://schemas.openxmlformats.org/officeDocument/2006/relationships/externalLinkPath" Target="file:///\\CBA75959\ShortCol_TypicalSection_Invert_25M-200%20-%20central.xlsb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ecom.sharepoint.com/sites/EC_OLN/Shared%20Documents/General/400_Technical/440_Ground%20Engineering/04_Bain%20Adit/03_SPREADSHEETS/Sections%20capacity/ShortCol%20files/ShortCol_TypicalSection_Invert_B25M-T15M-200.xlsb" TargetMode="External"/><Relationship Id="rId1" Type="http://schemas.openxmlformats.org/officeDocument/2006/relationships/externalLinkPath" Target="ShortCol%20files/ShortCol_TypicalSection_Invert_B25M-T15M-200.xlsb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ecom.sharepoint.com/sites/EC_OLN/Shared%20Documents/General/400_Technical/440_Ground%20Engineering/04_Bain%20Adit/03_SPREADSHEETS/Sections%20capacity/ShortCol%20files/ShortCol_TypicalSection_Invert_NF25M-150-FF20M-200.xlsb" TargetMode="External"/><Relationship Id="rId2" Type="http://schemas.microsoft.com/office/2019/04/relationships/externalLinkLongPath" Target="ShortCol%20files/ShortCol_TypicalSection_Invert_NF25M-150-FF20M-200.xlsb?CBA75959" TargetMode="External"/><Relationship Id="rId1" Type="http://schemas.openxmlformats.org/officeDocument/2006/relationships/externalLinkPath" Target="file:///\\CBA75959\ShortCol_TypicalSection_Invert_NF25M-150-FF20M-20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Biaxial"/>
      <sheetName val="CrackControl"/>
      <sheetName val="Shear"/>
      <sheetName val="InteractionDiagram"/>
      <sheetName val="AASHTO"/>
      <sheetName val="Calculations"/>
      <sheetName val="AS3600"/>
      <sheetName val="Sheet1"/>
      <sheetName val="Menuwks"/>
    </sheetNames>
    <sheetDataSet>
      <sheetData sheetId="0">
        <row r="4">
          <cell r="B4">
            <v>2021.04</v>
          </cell>
        </row>
      </sheetData>
      <sheetData sheetId="1"/>
      <sheetData sheetId="2"/>
      <sheetData sheetId="3"/>
      <sheetData sheetId="4"/>
      <sheetData sheetId="5"/>
      <sheetData sheetId="6">
        <row r="10">
          <cell r="AJ10" t="str">
            <v>SI</v>
          </cell>
        </row>
      </sheetData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Biaxial"/>
      <sheetName val="CrackControl"/>
      <sheetName val="Shear"/>
      <sheetName val="InteractionDiagram"/>
      <sheetName val="AASHTO"/>
      <sheetName val="Calculations"/>
      <sheetName val="AS3600"/>
      <sheetName val="Sheet1"/>
      <sheetName val="Menuwks"/>
    </sheetNames>
    <sheetDataSet>
      <sheetData sheetId="0">
        <row r="1">
          <cell r="E1" t="str">
            <v>OLN PTUS</v>
          </cell>
        </row>
        <row r="3">
          <cell r="E3" t="str">
            <v>Bain Adit - Final Lining</v>
          </cell>
        </row>
        <row r="4">
          <cell r="B4">
            <v>2021.04</v>
          </cell>
          <cell r="K4">
            <v>46154.41880821759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Biaxial"/>
      <sheetName val="CrackControl"/>
      <sheetName val="Shear"/>
      <sheetName val="InteractionDiagram"/>
      <sheetName val="AASHTO"/>
      <sheetName val="Calculations"/>
      <sheetName val="AS3600"/>
      <sheetName val="Sheet1"/>
      <sheetName val="Menuwks"/>
    </sheetNames>
    <sheetDataSet>
      <sheetData sheetId="0">
        <row r="1">
          <cell r="E1" t="str">
            <v>OLN PTUS</v>
          </cell>
        </row>
        <row r="3">
          <cell r="E3" t="str">
            <v>Bain Adit - Final Lining</v>
          </cell>
        </row>
        <row r="4">
          <cell r="B4">
            <v>2021.04</v>
          </cell>
          <cell r="K4">
            <v>46154.423999768522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Biaxial"/>
      <sheetName val="CrackControl"/>
      <sheetName val="Shear"/>
      <sheetName val="InteractionDiagram"/>
      <sheetName val="AASHTO"/>
      <sheetName val="Calculations"/>
      <sheetName val="AS3600"/>
      <sheetName val="Sheet1"/>
      <sheetName val="Menuwks"/>
    </sheetNames>
    <sheetDataSet>
      <sheetData sheetId="0">
        <row r="1">
          <cell r="E1" t="str">
            <v>OLN PTUS</v>
          </cell>
        </row>
        <row r="3">
          <cell r="E3" t="str">
            <v>Bain Adit- Final Lining</v>
          </cell>
        </row>
        <row r="4">
          <cell r="B4">
            <v>2021.04</v>
          </cell>
          <cell r="K4">
            <v>46154.432869444441</v>
          </cell>
        </row>
      </sheetData>
      <sheetData sheetId="1"/>
      <sheetData sheetId="2"/>
      <sheetData sheetId="3"/>
      <sheetData sheetId="4">
        <row r="10">
          <cell r="A10">
            <v>-2000</v>
          </cell>
          <cell r="B10">
            <v>21.249999999410349</v>
          </cell>
          <cell r="C10">
            <v>1</v>
          </cell>
          <cell r="D10">
            <v>1E-10</v>
          </cell>
          <cell r="E10">
            <v>2301214975.4334736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put"/>
      <sheetName val="Biaxial"/>
      <sheetName val="CrackControl"/>
      <sheetName val="Shear"/>
      <sheetName val="InteractionDiagram"/>
      <sheetName val="AASHTO"/>
      <sheetName val="Calculations"/>
      <sheetName val="AS3600"/>
      <sheetName val="Sheet1"/>
      <sheetName val="Menuwks"/>
    </sheetNames>
    <sheetDataSet>
      <sheetData sheetId="0">
        <row r="1">
          <cell r="E1" t="str">
            <v>OLN PTUS</v>
          </cell>
        </row>
        <row r="3">
          <cell r="E3" t="str">
            <v>Bain Adit - Final Lining</v>
          </cell>
        </row>
        <row r="4">
          <cell r="B4">
            <v>2021.04</v>
          </cell>
          <cell r="K4">
            <v>46154.431602546298</v>
          </cell>
        </row>
      </sheetData>
      <sheetData sheetId="1" refreshError="1"/>
      <sheetData sheetId="2" refreshError="1"/>
      <sheetData sheetId="3" refreshError="1"/>
      <sheetData sheetId="4">
        <row r="10">
          <cell r="A10">
            <v>-800</v>
          </cell>
          <cell r="B10">
            <v>8.4999999992107735</v>
          </cell>
          <cell r="C10">
            <v>1</v>
          </cell>
          <cell r="D10">
            <v>1E-10</v>
          </cell>
          <cell r="E10">
            <v>1853579090.0647757</v>
          </cell>
        </row>
        <row r="11">
          <cell r="A11">
            <v>-252.80073706332377</v>
          </cell>
          <cell r="B11">
            <v>-172.30224783648094</v>
          </cell>
          <cell r="C11">
            <v>1</v>
          </cell>
          <cell r="D11">
            <v>26.681097380637606</v>
          </cell>
          <cell r="E11">
            <v>3444164698.7814779</v>
          </cell>
        </row>
        <row r="12">
          <cell r="A12">
            <v>558.5034646464029</v>
          </cell>
          <cell r="B12">
            <v>-490.92603401863516</v>
          </cell>
          <cell r="C12">
            <v>1</v>
          </cell>
          <cell r="D12">
            <v>53.362194761175218</v>
          </cell>
          <cell r="E12">
            <v>3772172707.3146706</v>
          </cell>
        </row>
        <row r="13">
          <cell r="A13">
            <v>1186.191289656321</v>
          </cell>
          <cell r="B13">
            <v>-728.79865208949218</v>
          </cell>
          <cell r="C13">
            <v>1</v>
          </cell>
          <cell r="D13">
            <v>80.043292141712826</v>
          </cell>
          <cell r="E13">
            <v>3939733071.739377</v>
          </cell>
        </row>
        <row r="14">
          <cell r="A14">
            <v>1690.6539267419014</v>
          </cell>
          <cell r="B14">
            <v>-909.17070972760803</v>
          </cell>
          <cell r="C14">
            <v>1</v>
          </cell>
          <cell r="D14">
            <v>106.72438952225043</v>
          </cell>
          <cell r="E14">
            <v>4074174886.5664244</v>
          </cell>
        </row>
        <row r="15">
          <cell r="A15">
            <v>2117.8531896769764</v>
          </cell>
          <cell r="B15">
            <v>-1049.7375052359082</v>
          </cell>
          <cell r="C15">
            <v>1</v>
          </cell>
          <cell r="D15">
            <v>133.40548690278803</v>
          </cell>
          <cell r="E15">
            <v>4218826450.3215303</v>
          </cell>
        </row>
        <row r="16">
          <cell r="A16">
            <v>2545.0524526120512</v>
          </cell>
          <cell r="B16">
            <v>-1180.2454376623375</v>
          </cell>
          <cell r="C16">
            <v>1</v>
          </cell>
          <cell r="D16">
            <v>160.08658428332564</v>
          </cell>
          <cell r="E16">
            <v>4396078168.9422264</v>
          </cell>
        </row>
        <row r="17">
          <cell r="A17">
            <v>2972.2517155471269</v>
          </cell>
          <cell r="B17">
            <v>-1300.6945070068957</v>
          </cell>
          <cell r="C17">
            <v>1</v>
          </cell>
          <cell r="D17">
            <v>186.76768166386324</v>
          </cell>
          <cell r="E17">
            <v>4621409989.8178549</v>
          </cell>
        </row>
        <row r="18">
          <cell r="A18">
            <v>3399.4509784822017</v>
          </cell>
          <cell r="B18">
            <v>-1411.0847132695828</v>
          </cell>
          <cell r="C18">
            <v>1</v>
          </cell>
          <cell r="D18">
            <v>213.44877904440085</v>
          </cell>
          <cell r="E18">
            <v>4907474055.7308369</v>
          </cell>
        </row>
        <row r="19">
          <cell r="A19">
            <v>3826.6502414172764</v>
          </cell>
          <cell r="B19">
            <v>-1511.4160564503993</v>
          </cell>
          <cell r="C19">
            <v>1</v>
          </cell>
          <cell r="D19">
            <v>240.12987642493846</v>
          </cell>
          <cell r="E19">
            <v>5265588811.697113</v>
          </cell>
        </row>
        <row r="20">
          <cell r="A20">
            <v>4253.8495043523517</v>
          </cell>
          <cell r="B20">
            <v>-1601.6885365493442</v>
          </cell>
          <cell r="C20">
            <v>1</v>
          </cell>
          <cell r="D20">
            <v>266.81097380547607</v>
          </cell>
          <cell r="E20">
            <v>5706376333.1825333</v>
          </cell>
        </row>
        <row r="21">
          <cell r="A21">
            <v>4681.0487672874278</v>
          </cell>
          <cell r="B21">
            <v>-1681.9021535664185</v>
          </cell>
          <cell r="C21">
            <v>1</v>
          </cell>
          <cell r="D21">
            <v>293.49207118601367</v>
          </cell>
          <cell r="E21">
            <v>6240066067.6011372</v>
          </cell>
        </row>
        <row r="22">
          <cell r="A22">
            <v>5108.2480302225022</v>
          </cell>
          <cell r="B22">
            <v>-1752.0569075016213</v>
          </cell>
          <cell r="C22">
            <v>1</v>
          </cell>
          <cell r="D22">
            <v>320.17316856655128</v>
          </cell>
          <cell r="E22">
            <v>6876652349.334465</v>
          </cell>
        </row>
        <row r="23">
          <cell r="A23">
            <v>5535.4472931575783</v>
          </cell>
          <cell r="B23">
            <v>-1812.1527983549538</v>
          </cell>
          <cell r="C23">
            <v>1</v>
          </cell>
          <cell r="D23">
            <v>346.85426594708889</v>
          </cell>
          <cell r="E23">
            <v>7625981716.6902075</v>
          </cell>
        </row>
        <row r="24">
          <cell r="A24">
            <v>5962.6465560926526</v>
          </cell>
          <cell r="B24">
            <v>-1862.189826126415</v>
          </cell>
          <cell r="C24">
            <v>1</v>
          </cell>
          <cell r="D24">
            <v>373.5353633276265</v>
          </cell>
          <cell r="E24">
            <v>8497804005.7591009</v>
          </cell>
        </row>
        <row r="25">
          <cell r="A25">
            <v>6389.8458190277279</v>
          </cell>
          <cell r="B25">
            <v>-1902.1679908160047</v>
          </cell>
          <cell r="C25">
            <v>1</v>
          </cell>
          <cell r="D25">
            <v>400.21646070816411</v>
          </cell>
          <cell r="E25">
            <v>9501803618.9278488</v>
          </cell>
        </row>
        <row r="26">
          <cell r="A26">
            <v>6817.0450819628031</v>
          </cell>
          <cell r="B26">
            <v>-1932.0872924237233</v>
          </cell>
          <cell r="C26">
            <v>1</v>
          </cell>
          <cell r="D26">
            <v>426.89755808870171</v>
          </cell>
          <cell r="E26">
            <v>10647619397.603607</v>
          </cell>
        </row>
        <row r="27">
          <cell r="A27">
            <v>7244.2443448978775</v>
          </cell>
          <cell r="B27">
            <v>-1951.9477309495712</v>
          </cell>
          <cell r="C27">
            <v>1</v>
          </cell>
          <cell r="D27">
            <v>453.57865546923932</v>
          </cell>
          <cell r="E27">
            <v>11944857667.072567</v>
          </cell>
        </row>
        <row r="28">
          <cell r="A28">
            <v>7671.4436078329527</v>
          </cell>
          <cell r="B28">
            <v>-1961.7493063935483</v>
          </cell>
          <cell r="C28">
            <v>1</v>
          </cell>
          <cell r="D28">
            <v>480.25975284977693</v>
          </cell>
          <cell r="E28">
            <v>13403101042.159704</v>
          </cell>
        </row>
        <row r="29">
          <cell r="A29">
            <v>8098.6428707680279</v>
          </cell>
          <cell r="B29">
            <v>-1961.492018755654</v>
          </cell>
          <cell r="C29">
            <v>1</v>
          </cell>
          <cell r="D29">
            <v>506.94085023031454</v>
          </cell>
          <cell r="E29">
            <v>15031914518.33106</v>
          </cell>
        </row>
        <row r="30">
          <cell r="A30">
            <v>8525.8421337031032</v>
          </cell>
          <cell r="B30">
            <v>-1951.1758680358889</v>
          </cell>
          <cell r="C30">
            <v>1</v>
          </cell>
          <cell r="D30">
            <v>533.6219476108522</v>
          </cell>
          <cell r="E30">
            <v>16840849776.827839</v>
          </cell>
        </row>
        <row r="31">
          <cell r="A31">
            <v>8999.8288753523957</v>
          </cell>
          <cell r="B31">
            <v>-1913.9573618971349</v>
          </cell>
          <cell r="C31">
            <v>1</v>
          </cell>
          <cell r="D31">
            <v>560.30304499138981</v>
          </cell>
          <cell r="E31">
            <v>18839448286.307465</v>
          </cell>
        </row>
        <row r="32">
          <cell r="A32">
            <v>9472.1741619822697</v>
          </cell>
          <cell r="B32">
            <v>-1867.2709164834991</v>
          </cell>
          <cell r="C32">
            <v>1</v>
          </cell>
          <cell r="D32">
            <v>586.98414237192742</v>
          </cell>
          <cell r="E32">
            <v>21037243576.025166</v>
          </cell>
        </row>
        <row r="33">
          <cell r="A33">
            <v>9940.5937074212961</v>
          </cell>
          <cell r="B33">
            <v>-1811.9388748166987</v>
          </cell>
          <cell r="C33">
            <v>1</v>
          </cell>
          <cell r="D33">
            <v>613.66523975246503</v>
          </cell>
          <cell r="E33">
            <v>23443762927.718349</v>
          </cell>
        </row>
        <row r="34">
          <cell r="A34">
            <v>10405.578229318324</v>
          </cell>
          <cell r="B34">
            <v>-1747.7845785431464</v>
          </cell>
          <cell r="C34">
            <v>1</v>
          </cell>
          <cell r="D34">
            <v>640.34633713300263</v>
          </cell>
          <cell r="E34">
            <v>26068528652.528454</v>
          </cell>
        </row>
        <row r="35">
          <cell r="A35">
            <v>10867.539930498398</v>
          </cell>
          <cell r="B35">
            <v>-1674.6596346458264</v>
          </cell>
          <cell r="C35">
            <v>1</v>
          </cell>
          <cell r="D35">
            <v>667.02743451354024</v>
          </cell>
          <cell r="E35">
            <v>28921059067.036507</v>
          </cell>
        </row>
        <row r="36">
          <cell r="A36">
            <v>11326.827597967316</v>
          </cell>
          <cell r="B36">
            <v>-1592.4384798026513</v>
          </cell>
          <cell r="C36">
            <v>1</v>
          </cell>
          <cell r="D36">
            <v>693.70853189407785</v>
          </cell>
          <cell r="E36">
            <v>32010869248.001926</v>
          </cell>
        </row>
        <row r="37">
          <cell r="A37">
            <v>11783.738346581877</v>
          </cell>
          <cell r="B37">
            <v>-1501.0141526651737</v>
          </cell>
          <cell r="C37">
            <v>1</v>
          </cell>
          <cell r="D37">
            <v>720.38962927461546</v>
          </cell>
          <cell r="E37">
            <v>35347471622.210495</v>
          </cell>
        </row>
        <row r="38">
          <cell r="A38">
            <v>12238.526846219334</v>
          </cell>
          <cell r="B38">
            <v>-1400.294972077583</v>
          </cell>
          <cell r="C38">
            <v>1</v>
          </cell>
          <cell r="D38">
            <v>747.07072665515307</v>
          </cell>
          <cell r="E38">
            <v>38940376431.9832</v>
          </cell>
        </row>
        <row r="39">
          <cell r="A39">
            <v>12691.412639877315</v>
          </cell>
          <cell r="B39">
            <v>-1290.2019025607326</v>
          </cell>
          <cell r="C39">
            <v>1</v>
          </cell>
          <cell r="D39">
            <v>773.75182403569067</v>
          </cell>
          <cell r="E39">
            <v>42799092105.886948</v>
          </cell>
        </row>
        <row r="40">
          <cell r="A40">
            <v>13142.586000000001</v>
          </cell>
          <cell r="B40">
            <v>-1170.6664466998268</v>
          </cell>
          <cell r="C40">
            <v>1</v>
          </cell>
          <cell r="D40">
            <v>800.43292141612824</v>
          </cell>
          <cell r="E40">
            <v>46311231890.121979</v>
          </cell>
        </row>
        <row r="41">
          <cell r="A41">
            <v>13142.586000000001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put"/>
      <sheetName val="Biaxial"/>
      <sheetName val="CrackControl"/>
      <sheetName val="Shear"/>
      <sheetName val="InteractionDiagram"/>
      <sheetName val="AASHTO"/>
      <sheetName val="Calculations"/>
      <sheetName val="AS3600"/>
      <sheetName val="Sheet1"/>
      <sheetName val="Menuwks"/>
      <sheetName val="ShortCol_TypicalSection_Invert_"/>
    </sheetNames>
    <definedNames>
      <definedName name="FirstP" refersTo="='InteractionDiagram'!$A$10"/>
    </definedNames>
    <sheetDataSet>
      <sheetData sheetId="0">
        <row r="1">
          <cell r="E1" t="str">
            <v>OLN PTUS</v>
          </cell>
        </row>
        <row r="3">
          <cell r="E3" t="str">
            <v>Bain Adit  - Final Lining</v>
          </cell>
        </row>
        <row r="4">
          <cell r="B4">
            <v>2021.04</v>
          </cell>
          <cell r="K4">
            <v>46154.429297106479</v>
          </cell>
        </row>
      </sheetData>
      <sheetData sheetId="1" refreshError="1"/>
      <sheetData sheetId="2" refreshError="1"/>
      <sheetData sheetId="3" refreshError="1"/>
      <sheetData sheetId="4">
        <row r="10">
          <cell r="A10">
            <v>-1200</v>
          </cell>
          <cell r="B10">
            <v>12.749999999210774</v>
          </cell>
          <cell r="C10">
            <v>1</v>
          </cell>
          <cell r="D10">
            <v>1E-10</v>
          </cell>
          <cell r="E10">
            <v>2780368635.0870504</v>
          </cell>
        </row>
        <row r="11">
          <cell r="A11">
            <v>-589.896116945225</v>
          </cell>
          <cell r="B11">
            <v>-169.24713269646517</v>
          </cell>
          <cell r="C11">
            <v>1</v>
          </cell>
          <cell r="D11">
            <v>26.86250792824017</v>
          </cell>
          <cell r="E11">
            <v>4830659473.8592129</v>
          </cell>
        </row>
        <row r="12">
          <cell r="A12">
            <v>423.0093574495894</v>
          </cell>
          <cell r="B12">
            <v>-565.42676519411725</v>
          </cell>
          <cell r="C12">
            <v>1</v>
          </cell>
          <cell r="D12">
            <v>53.725015856380338</v>
          </cell>
          <cell r="E12">
            <v>5392068872.6014681</v>
          </cell>
        </row>
        <row r="13">
          <cell r="A13">
            <v>1151.6313558884792</v>
          </cell>
          <cell r="B13">
            <v>-841.96114658409033</v>
          </cell>
          <cell r="C13">
            <v>1</v>
          </cell>
          <cell r="D13">
            <v>80.587523784520513</v>
          </cell>
          <cell r="E13">
            <v>5686800208.1651907</v>
          </cell>
        </row>
        <row r="14">
          <cell r="A14">
            <v>1693.2008447142966</v>
          </cell>
          <cell r="B14">
            <v>-1036.2841989083827</v>
          </cell>
          <cell r="C14">
            <v>1</v>
          </cell>
          <cell r="D14">
            <v>107.45003171266069</v>
          </cell>
          <cell r="E14">
            <v>5898012542.7099934</v>
          </cell>
        </row>
        <row r="15">
          <cell r="A15">
            <v>2123.3047277674709</v>
          </cell>
          <cell r="B15">
            <v>-1177.4968801455589</v>
          </cell>
          <cell r="C15">
            <v>1</v>
          </cell>
          <cell r="D15">
            <v>134.31253964080085</v>
          </cell>
          <cell r="E15">
            <v>6094761303.6541061</v>
          </cell>
        </row>
        <row r="16">
          <cell r="A16">
            <v>2553.4086108206448</v>
          </cell>
          <cell r="B16">
            <v>-1308.513448518087</v>
          </cell>
          <cell r="C16">
            <v>1</v>
          </cell>
          <cell r="D16">
            <v>161.17504756894101</v>
          </cell>
          <cell r="E16">
            <v>6310608565.8957109</v>
          </cell>
        </row>
        <row r="17">
          <cell r="A17">
            <v>2983.5124938738181</v>
          </cell>
          <cell r="B17">
            <v>-1429.3339040259671</v>
          </cell>
          <cell r="C17">
            <v>1</v>
          </cell>
          <cell r="D17">
            <v>188.03755549708117</v>
          </cell>
          <cell r="E17">
            <v>6566700357.092577</v>
          </cell>
        </row>
        <row r="18">
          <cell r="A18">
            <v>3413.616376926992</v>
          </cell>
          <cell r="B18">
            <v>-1539.9582466691991</v>
          </cell>
          <cell r="C18">
            <v>1</v>
          </cell>
          <cell r="D18">
            <v>214.90006342522133</v>
          </cell>
          <cell r="E18">
            <v>6878910446.9439354</v>
          </cell>
        </row>
        <row r="19">
          <cell r="A19">
            <v>3843.7202599801653</v>
          </cell>
          <cell r="B19">
            <v>-1640.386476447783</v>
          </cell>
          <cell r="C19">
            <v>1</v>
          </cell>
          <cell r="D19">
            <v>241.76257135336149</v>
          </cell>
          <cell r="E19">
            <v>7260560782.7352438</v>
          </cell>
        </row>
        <row r="20">
          <cell r="A20">
            <v>4273.8241430333392</v>
          </cell>
          <cell r="B20">
            <v>-1730.6185933617189</v>
          </cell>
          <cell r="C20">
            <v>1</v>
          </cell>
          <cell r="D20">
            <v>268.62507928150166</v>
          </cell>
          <cell r="E20">
            <v>7723615034.1361208</v>
          </cell>
        </row>
        <row r="21">
          <cell r="A21">
            <v>4703.9280260865144</v>
          </cell>
          <cell r="B21">
            <v>-1810.654597411007</v>
          </cell>
          <cell r="C21">
            <v>1</v>
          </cell>
          <cell r="D21">
            <v>295.48758720964184</v>
          </cell>
          <cell r="E21">
            <v>8279259545.3437481</v>
          </cell>
        </row>
        <row r="22">
          <cell r="A22">
            <v>5134.0319091396877</v>
          </cell>
          <cell r="B22">
            <v>-1880.4944885956463</v>
          </cell>
          <cell r="C22">
            <v>1</v>
          </cell>
          <cell r="D22">
            <v>322.35009513778203</v>
          </cell>
          <cell r="E22">
            <v>8938209607.5049629</v>
          </cell>
        </row>
        <row r="23">
          <cell r="A23">
            <v>5564.135792192862</v>
          </cell>
          <cell r="B23">
            <v>-1940.1382669156383</v>
          </cell>
          <cell r="C23">
            <v>1</v>
          </cell>
          <cell r="D23">
            <v>349.21260306592222</v>
          </cell>
          <cell r="E23">
            <v>9710881500.2222729</v>
          </cell>
        </row>
        <row r="24">
          <cell r="A24">
            <v>5994.2396752460354</v>
          </cell>
          <cell r="B24">
            <v>-1989.5859323709819</v>
          </cell>
          <cell r="C24">
            <v>1</v>
          </cell>
          <cell r="D24">
            <v>376.07511099406241</v>
          </cell>
          <cell r="E24">
            <v>10607494264.708675</v>
          </cell>
        </row>
        <row r="25">
          <cell r="A25">
            <v>6424.3435582992097</v>
          </cell>
          <cell r="B25">
            <v>-2028.8374849616773</v>
          </cell>
          <cell r="C25">
            <v>1</v>
          </cell>
          <cell r="D25">
            <v>402.9376189222026</v>
          </cell>
          <cell r="E25">
            <v>11638132558.19965</v>
          </cell>
        </row>
        <row r="26">
          <cell r="A26">
            <v>6854.447441352384</v>
          </cell>
          <cell r="B26">
            <v>-2057.8929246877251</v>
          </cell>
          <cell r="C26">
            <v>1</v>
          </cell>
          <cell r="D26">
            <v>429.80012685034279</v>
          </cell>
          <cell r="E26">
            <v>12812786912.545212</v>
          </cell>
        </row>
        <row r="27">
          <cell r="A27">
            <v>7284.5513244055583</v>
          </cell>
          <cell r="B27">
            <v>-2076.7522515491237</v>
          </cell>
          <cell r="C27">
            <v>1</v>
          </cell>
          <cell r="D27">
            <v>456.66263477848298</v>
          </cell>
          <cell r="E27">
            <v>14141380338.183521</v>
          </cell>
        </row>
        <row r="28">
          <cell r="A28">
            <v>7714.6552074587325</v>
          </cell>
          <cell r="B28">
            <v>-2085.4154655458751</v>
          </cell>
          <cell r="C28">
            <v>1</v>
          </cell>
          <cell r="D28">
            <v>483.52514270662317</v>
          </cell>
          <cell r="E28">
            <v>15633786387.558254</v>
          </cell>
        </row>
        <row r="29">
          <cell r="A29">
            <v>8144.7590905119068</v>
          </cell>
          <cell r="B29">
            <v>-2083.8825666779785</v>
          </cell>
          <cell r="C29">
            <v>1</v>
          </cell>
          <cell r="D29">
            <v>510.38765063476336</v>
          </cell>
          <cell r="E29">
            <v>17299841714.22113</v>
          </cell>
        </row>
        <row r="30">
          <cell r="A30">
            <v>8581.1175037956873</v>
          </cell>
          <cell r="B30">
            <v>-2069.9019240624152</v>
          </cell>
          <cell r="C30">
            <v>1</v>
          </cell>
          <cell r="D30">
            <v>537.25015856290349</v>
          </cell>
          <cell r="E30">
            <v>19149354989.87286</v>
          </cell>
        </row>
        <row r="31">
          <cell r="A31">
            <v>9085.2092663616768</v>
          </cell>
          <cell r="B31">
            <v>-2021.3411628406088</v>
          </cell>
          <cell r="C31">
            <v>1</v>
          </cell>
          <cell r="D31">
            <v>564.11266649104368</v>
          </cell>
          <cell r="E31">
            <v>21192113354.737335</v>
          </cell>
        </row>
        <row r="32">
          <cell r="A32">
            <v>9582.574858062866</v>
          </cell>
          <cell r="B32">
            <v>-1965.0057102654819</v>
          </cell>
          <cell r="C32">
            <v>1</v>
          </cell>
          <cell r="D32">
            <v>590.97517441918387</v>
          </cell>
          <cell r="E32">
            <v>23437887162.247135</v>
          </cell>
        </row>
        <row r="33">
          <cell r="A33">
            <v>10074.091605533793</v>
          </cell>
          <cell r="B33">
            <v>-1900.5797287486012</v>
          </cell>
          <cell r="C33">
            <v>1</v>
          </cell>
          <cell r="D33">
            <v>617.83768234732406</v>
          </cell>
          <cell r="E33">
            <v>25896433522.040817</v>
          </cell>
        </row>
        <row r="34">
          <cell r="A34">
            <v>10560.49061430324</v>
          </cell>
          <cell r="B34">
            <v>-1827.8000202996052</v>
          </cell>
          <cell r="C34">
            <v>1</v>
          </cell>
          <cell r="D34">
            <v>644.70019027546425</v>
          </cell>
          <cell r="E34">
            <v>28577498981.967964</v>
          </cell>
        </row>
        <row r="35">
          <cell r="A35">
            <v>11042.386013015392</v>
          </cell>
          <cell r="B35">
            <v>-1746.4454986065891</v>
          </cell>
          <cell r="C35">
            <v>1</v>
          </cell>
          <cell r="D35">
            <v>671.56269820360444</v>
          </cell>
          <cell r="E35">
            <v>31490821583.703911</v>
          </cell>
        </row>
        <row r="36">
          <cell r="A36">
            <v>11520.29744898454</v>
          </cell>
          <cell r="B36">
            <v>-1656.3290906364036</v>
          </cell>
          <cell r="C36">
            <v>1</v>
          </cell>
          <cell r="D36">
            <v>698.42520613174463</v>
          </cell>
          <cell r="E36">
            <v>34646132456.257072</v>
          </cell>
        </row>
        <row r="37">
          <cell r="A37">
            <v>11994.667584737694</v>
          </cell>
          <cell r="B37">
            <v>-1557.2914378793298</v>
          </cell>
          <cell r="C37">
            <v>1</v>
          </cell>
          <cell r="D37">
            <v>725.28771405988482</v>
          </cell>
          <cell r="E37">
            <v>38053157064.189041</v>
          </cell>
        </row>
        <row r="38">
          <cell r="A38">
            <v>12465.875845297993</v>
          </cell>
          <cell r="B38">
            <v>-1449.1959473270354</v>
          </cell>
          <cell r="C38">
            <v>1</v>
          </cell>
          <cell r="D38">
            <v>752.15022198802501</v>
          </cell>
          <cell r="E38">
            <v>41721616194.792488</v>
          </cell>
        </row>
        <row r="39">
          <cell r="A39">
            <v>12934.249321202626</v>
          </cell>
          <cell r="B39">
            <v>-1331.9248663861324</v>
          </cell>
          <cell r="C39">
            <v>1</v>
          </cell>
          <cell r="D39">
            <v>779.0127299161652</v>
          </cell>
          <cell r="E39">
            <v>45661226745.772766</v>
          </cell>
        </row>
        <row r="40">
          <cell r="A40">
            <v>13400.071500000002</v>
          </cell>
          <cell r="B40">
            <v>-1205.3761428095052</v>
          </cell>
          <cell r="C40">
            <v>1</v>
          </cell>
          <cell r="D40">
            <v>805.87523784420512</v>
          </cell>
          <cell r="E40">
            <v>48956101301.635849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put"/>
      <sheetName val="Biaxial"/>
      <sheetName val="CrackControl"/>
      <sheetName val="Shear"/>
      <sheetName val="InteractionDiagram"/>
      <sheetName val="AASHTO"/>
      <sheetName val="Calculations"/>
      <sheetName val="AS3600"/>
      <sheetName val="Sheet1"/>
      <sheetName val="Menuwks"/>
    </sheetNames>
    <sheetDataSet>
      <sheetData sheetId="0">
        <row r="1">
          <cell r="E1" t="str">
            <v>OLN PTUS</v>
          </cell>
        </row>
        <row r="3">
          <cell r="E3" t="str">
            <v>Bain Adit  - Final Lining</v>
          </cell>
        </row>
        <row r="4">
          <cell r="B4">
            <v>2021.04</v>
          </cell>
          <cell r="K4">
            <v>46154.42783576389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"/>
      <sheetName val="Biaxial"/>
      <sheetName val="CrackControl"/>
      <sheetName val="Shear"/>
      <sheetName val="InteractionDiagram"/>
      <sheetName val="AASHTO"/>
      <sheetName val="Calculations"/>
      <sheetName val="AS3600"/>
      <sheetName val="Sheet1"/>
      <sheetName val="Menuwks"/>
    </sheetNames>
    <sheetDataSet>
      <sheetData sheetId="0">
        <row r="1">
          <cell r="E1" t="str">
            <v>OLN PTUS</v>
          </cell>
        </row>
        <row r="3">
          <cell r="E3" t="str">
            <v>Bain Adit- Final Lining</v>
          </cell>
        </row>
        <row r="4">
          <cell r="B4">
            <v>2021.04</v>
          </cell>
          <cell r="K4">
            <v>46155.746515856481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put"/>
      <sheetName val="Biaxial"/>
      <sheetName val="CrackControl"/>
      <sheetName val="Shear"/>
      <sheetName val="InteractionDiagram"/>
      <sheetName val="AASHTO"/>
      <sheetName val="Calculations"/>
      <sheetName val="AS3600"/>
      <sheetName val="Sheet1"/>
      <sheetName val="Menuwks"/>
    </sheetNames>
    <sheetDataSet>
      <sheetData sheetId="0">
        <row r="1">
          <cell r="E1" t="str">
            <v>OLN PTUS</v>
          </cell>
        </row>
        <row r="3">
          <cell r="E3" t="str">
            <v>Bain Adit- Final Lining</v>
          </cell>
        </row>
        <row r="4">
          <cell r="B4">
            <v>2021.04</v>
          </cell>
          <cell r="K4">
            <v>46155.750915856479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yakpol.ne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yakpol.net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yakpol.net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yakpol.net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yakpol.net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yakpol.ne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yakpol.net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yakpol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E048-84AD-4459-AEF3-B8841ABBCEB5}">
  <dimension ref="A1:K76"/>
  <sheetViews>
    <sheetView workbookViewId="0">
      <selection sqref="A1:K1048576"/>
    </sheetView>
  </sheetViews>
  <sheetFormatPr defaultRowHeight="14.5" x14ac:dyDescent="0.35"/>
  <cols>
    <col min="1" max="2" width="7.7265625" customWidth="1"/>
    <col min="3" max="3" width="6.453125" customWidth="1"/>
    <col min="4" max="4" width="8.1796875" customWidth="1"/>
    <col min="5" max="9" width="7.7265625" customWidth="1"/>
    <col min="10" max="10" width="9.26953125" customWidth="1"/>
    <col min="11" max="11" width="7.7265625" customWidth="1"/>
    <col min="12" max="12" width="7" customWidth="1"/>
  </cols>
  <sheetData>
    <row r="1" spans="1:11" x14ac:dyDescent="0.35">
      <c r="A1" s="39" t="str">
        <f>IF([2]Input!A1="","",[2]Input!A1)</f>
        <v/>
      </c>
      <c r="B1" s="40"/>
      <c r="C1" s="41"/>
      <c r="D1" s="1" t="s">
        <v>0</v>
      </c>
      <c r="E1" s="40" t="str">
        <f>IF([2]Input!E1="","",[2]Input!E1)</f>
        <v>OLN PTUS</v>
      </c>
      <c r="F1" s="40"/>
      <c r="G1" s="40"/>
      <c r="H1" s="41"/>
      <c r="I1" s="1" t="s">
        <v>1</v>
      </c>
      <c r="J1" s="2" t="str">
        <f>IF([2]Input!K1="","",[2]Input!K1)</f>
        <v/>
      </c>
      <c r="K1" s="3"/>
    </row>
    <row r="2" spans="1:11" x14ac:dyDescent="0.35">
      <c r="A2" s="42"/>
      <c r="B2" s="43"/>
      <c r="C2" s="44"/>
      <c r="D2" s="4"/>
      <c r="E2" s="43"/>
      <c r="F2" s="43"/>
      <c r="G2" s="43"/>
      <c r="H2" s="44"/>
      <c r="I2" s="5" t="s">
        <v>2</v>
      </c>
      <c r="J2" s="6">
        <f ca="1">NOW()</f>
        <v>46155.750915972225</v>
      </c>
      <c r="K2" s="7"/>
    </row>
    <row r="3" spans="1:11" x14ac:dyDescent="0.35">
      <c r="A3" s="8"/>
      <c r="B3" s="9" t="s">
        <v>3</v>
      </c>
      <c r="C3" s="10"/>
      <c r="D3" s="11" t="s">
        <v>4</v>
      </c>
      <c r="E3" s="45" t="str">
        <f>IF([2]Input!E3="","",[2]Input!E3)</f>
        <v>Bain Adit - Final Lining</v>
      </c>
      <c r="F3" s="45"/>
      <c r="G3" s="45"/>
      <c r="H3" s="46"/>
      <c r="I3" s="11" t="s">
        <v>5</v>
      </c>
      <c r="J3" s="12" t="str">
        <f>IF([2]Input!K3="","",[2]Input!K3)</f>
        <v/>
      </c>
      <c r="K3" s="13"/>
    </row>
    <row r="4" spans="1:11" ht="15" thickBot="1" x14ac:dyDescent="0.4">
      <c r="A4" s="14"/>
      <c r="B4" s="15">
        <f>[2]Input!B4</f>
        <v>2021.04</v>
      </c>
      <c r="C4" s="16"/>
      <c r="D4" s="17"/>
      <c r="E4" s="47"/>
      <c r="F4" s="47"/>
      <c r="G4" s="47"/>
      <c r="H4" s="48"/>
      <c r="I4" s="18" t="s">
        <v>2</v>
      </c>
      <c r="J4" s="19">
        <f>IF([2]Input!K4="","",[2]Input!K4)</f>
        <v>46154.41880821759</v>
      </c>
      <c r="K4" s="20"/>
    </row>
    <row r="6" spans="1:11" ht="19" x14ac:dyDescent="0.5">
      <c r="A6" s="35" t="s">
        <v>6</v>
      </c>
      <c r="B6" s="36"/>
      <c r="C6" s="36"/>
      <c r="D6" s="36"/>
      <c r="E6" s="36"/>
      <c r="F6" s="36"/>
      <c r="G6" s="36"/>
      <c r="H6" s="36"/>
      <c r="I6" s="36"/>
      <c r="J6" s="36"/>
      <c r="K6" s="37"/>
    </row>
    <row r="8" spans="1:11" ht="54.5" x14ac:dyDescent="0.4">
      <c r="A8" s="24" t="s">
        <v>7</v>
      </c>
      <c r="B8" s="25" t="s">
        <v>8</v>
      </c>
      <c r="C8" s="26" t="s">
        <v>9</v>
      </c>
      <c r="D8" s="27" t="s">
        <v>10</v>
      </c>
      <c r="E8" s="27" t="s">
        <v>11</v>
      </c>
      <c r="G8" s="24" t="s">
        <v>7</v>
      </c>
      <c r="H8" s="25" t="s">
        <v>12</v>
      </c>
      <c r="I8" s="26" t="s">
        <v>9</v>
      </c>
      <c r="J8" s="27" t="s">
        <v>13</v>
      </c>
      <c r="K8" s="27" t="s">
        <v>11</v>
      </c>
    </row>
    <row r="9" spans="1:11" x14ac:dyDescent="0.35">
      <c r="A9" s="28" t="str">
        <f>UnitForce</f>
        <v>kN</v>
      </c>
      <c r="B9" s="29" t="str">
        <f>UnitMoment</f>
        <v>kN-M</v>
      </c>
      <c r="C9" s="30"/>
      <c r="D9" s="29" t="str">
        <f>UnitLength</f>
        <v>mm</v>
      </c>
      <c r="E9" s="31" t="str">
        <f>UnitLength&amp;"^4"</f>
        <v>mm^4</v>
      </c>
      <c r="G9" s="28" t="str">
        <f>UnitForce</f>
        <v>kN</v>
      </c>
      <c r="H9" s="29" t="str">
        <f>UnitMoment</f>
        <v>kN-M</v>
      </c>
      <c r="I9" s="30"/>
      <c r="J9" s="29" t="str">
        <f>UnitLength</f>
        <v>mm</v>
      </c>
      <c r="K9" s="31" t="str">
        <f>UnitLength&amp;"^4"</f>
        <v>mm^4</v>
      </c>
    </row>
    <row r="10" spans="1:11" x14ac:dyDescent="0.35">
      <c r="A10" s="32">
        <v>-800</v>
      </c>
      <c r="B10" s="32">
        <v>8.499999999410349</v>
      </c>
      <c r="C10" s="33">
        <v>1</v>
      </c>
      <c r="D10" s="34">
        <v>1E-10</v>
      </c>
      <c r="E10" s="34">
        <v>920485990.18002892</v>
      </c>
      <c r="G10" s="32"/>
      <c r="H10" s="32"/>
      <c r="I10" s="33"/>
      <c r="J10" s="34"/>
      <c r="K10" s="34"/>
    </row>
    <row r="11" spans="1:11" x14ac:dyDescent="0.35">
      <c r="A11" s="32">
        <v>-360.03593480781228</v>
      </c>
      <c r="B11" s="32">
        <v>-92.666949372674139</v>
      </c>
      <c r="C11" s="33">
        <v>1</v>
      </c>
      <c r="D11" s="34">
        <v>19.983630877572182</v>
      </c>
      <c r="E11" s="34">
        <v>1703027086.3934374</v>
      </c>
      <c r="G11" s="32"/>
      <c r="H11" s="32"/>
      <c r="I11" s="33"/>
      <c r="J11" s="34"/>
      <c r="K11" s="34"/>
    </row>
    <row r="12" spans="1:11" x14ac:dyDescent="0.35">
      <c r="A12" s="32">
        <v>124.21139465762633</v>
      </c>
      <c r="B12" s="32">
        <v>-233.36905279089495</v>
      </c>
      <c r="C12" s="33">
        <v>1</v>
      </c>
      <c r="D12" s="34">
        <v>39.967261755044362</v>
      </c>
      <c r="E12" s="34">
        <v>1903548369.5613487</v>
      </c>
      <c r="G12" s="32"/>
      <c r="H12" s="32"/>
      <c r="I12" s="33"/>
      <c r="J12" s="34"/>
      <c r="K12" s="34"/>
    </row>
    <row r="13" spans="1:11" x14ac:dyDescent="0.35">
      <c r="A13" s="32">
        <v>717.93791342277518</v>
      </c>
      <c r="B13" s="32">
        <v>-398.53518963701868</v>
      </c>
      <c r="C13" s="33">
        <v>1</v>
      </c>
      <c r="D13" s="34">
        <v>59.950892632516542</v>
      </c>
      <c r="E13" s="34">
        <v>2005217715.5766761</v>
      </c>
      <c r="G13" s="32"/>
      <c r="H13" s="32"/>
      <c r="I13" s="33"/>
      <c r="J13" s="34"/>
      <c r="K13" s="34"/>
    </row>
    <row r="14" spans="1:11" x14ac:dyDescent="0.35">
      <c r="A14" s="32">
        <v>1183.8547679008257</v>
      </c>
      <c r="B14" s="32">
        <v>-522.91092517467314</v>
      </c>
      <c r="C14" s="33">
        <v>1</v>
      </c>
      <c r="D14" s="34">
        <v>79.934523509988722</v>
      </c>
      <c r="E14" s="34">
        <v>2080764012.1570618</v>
      </c>
      <c r="G14" s="32"/>
      <c r="H14" s="32"/>
      <c r="I14" s="33"/>
      <c r="J14" s="34"/>
      <c r="K14" s="34"/>
    </row>
    <row r="15" spans="1:11" x14ac:dyDescent="0.35">
      <c r="A15" s="32">
        <v>1581.6772009545339</v>
      </c>
      <c r="B15" s="32">
        <v>-622.91795119111612</v>
      </c>
      <c r="C15" s="33">
        <v>1</v>
      </c>
      <c r="D15" s="34">
        <v>99.918154387460902</v>
      </c>
      <c r="E15" s="34">
        <v>2154137831.4985991</v>
      </c>
      <c r="G15" s="32"/>
      <c r="H15" s="32"/>
      <c r="I15" s="33"/>
      <c r="J15" s="34"/>
      <c r="K15" s="34"/>
    </row>
    <row r="16" spans="1:11" x14ac:dyDescent="0.35">
      <c r="A16" s="32">
        <v>1901.6412661451207</v>
      </c>
      <c r="B16" s="32">
        <v>-695.87118241568351</v>
      </c>
      <c r="C16" s="33">
        <v>1</v>
      </c>
      <c r="D16" s="34">
        <v>119.90178526493308</v>
      </c>
      <c r="E16" s="34">
        <v>2237548779.2565994</v>
      </c>
      <c r="G16" s="32"/>
      <c r="H16" s="32"/>
      <c r="I16" s="33"/>
      <c r="J16" s="34"/>
      <c r="K16" s="34"/>
    </row>
    <row r="17" spans="1:11" x14ac:dyDescent="0.35">
      <c r="A17" s="32">
        <v>2221.605331335707</v>
      </c>
      <c r="B17" s="32">
        <v>-763.18167001073357</v>
      </c>
      <c r="C17" s="33">
        <v>1</v>
      </c>
      <c r="D17" s="34">
        <v>139.88541614240526</v>
      </c>
      <c r="E17" s="34">
        <v>2338890917.6511722</v>
      </c>
      <c r="G17" s="32"/>
      <c r="H17" s="32"/>
      <c r="I17" s="33"/>
      <c r="J17" s="34"/>
      <c r="K17" s="34"/>
    </row>
    <row r="18" spans="1:11" x14ac:dyDescent="0.35">
      <c r="A18" s="32">
        <v>2541.569396526294</v>
      </c>
      <c r="B18" s="32">
        <v>-824.84941397626608</v>
      </c>
      <c r="C18" s="33">
        <v>1</v>
      </c>
      <c r="D18" s="34">
        <v>159.86904701987746</v>
      </c>
      <c r="E18" s="34">
        <v>2464246436.1951847</v>
      </c>
      <c r="G18" s="32"/>
      <c r="H18" s="32"/>
      <c r="I18" s="33"/>
      <c r="J18" s="34"/>
      <c r="K18" s="34"/>
    </row>
    <row r="19" spans="1:11" x14ac:dyDescent="0.35">
      <c r="A19" s="32">
        <v>2861.533461716881</v>
      </c>
      <c r="B19" s="32">
        <v>-880.87441431228171</v>
      </c>
      <c r="C19" s="33">
        <v>1</v>
      </c>
      <c r="D19" s="34">
        <v>179.85267789734965</v>
      </c>
      <c r="E19" s="34">
        <v>2618827526.9462171</v>
      </c>
      <c r="G19" s="32"/>
      <c r="H19" s="32"/>
      <c r="I19" s="33"/>
      <c r="J19" s="34"/>
      <c r="K19" s="34"/>
    </row>
    <row r="20" spans="1:11" x14ac:dyDescent="0.35">
      <c r="A20" s="32">
        <v>3181.4975269074671</v>
      </c>
      <c r="B20" s="32">
        <v>-931.2566710187798</v>
      </c>
      <c r="C20" s="33">
        <v>1</v>
      </c>
      <c r="D20" s="34">
        <v>199.83630877482184</v>
      </c>
      <c r="E20" s="34">
        <v>2807386048.2941017</v>
      </c>
      <c r="G20" s="32"/>
      <c r="H20" s="32"/>
      <c r="I20" s="33"/>
      <c r="J20" s="34"/>
      <c r="K20" s="34"/>
    </row>
    <row r="21" spans="1:11" x14ac:dyDescent="0.35">
      <c r="A21" s="32">
        <v>3501.4615920980541</v>
      </c>
      <c r="B21" s="32">
        <v>-975.99618409576078</v>
      </c>
      <c r="C21" s="33">
        <v>1</v>
      </c>
      <c r="D21" s="34">
        <v>219.81993965229404</v>
      </c>
      <c r="E21" s="34">
        <v>3034411629.8548756</v>
      </c>
      <c r="G21" s="32"/>
      <c r="H21" s="32"/>
      <c r="I21" s="33"/>
      <c r="J21" s="34"/>
      <c r="K21" s="34"/>
    </row>
    <row r="22" spans="1:11" x14ac:dyDescent="0.35">
      <c r="A22" s="32">
        <v>3821.4256572886407</v>
      </c>
      <c r="B22" s="32">
        <v>-1015.0929535432242</v>
      </c>
      <c r="C22" s="33">
        <v>1</v>
      </c>
      <c r="D22" s="34">
        <v>239.80357052976623</v>
      </c>
      <c r="E22" s="34">
        <v>3304235579.5027199</v>
      </c>
      <c r="G22" s="32"/>
      <c r="H22" s="32"/>
      <c r="I22" s="33"/>
      <c r="J22" s="34"/>
      <c r="K22" s="34"/>
    </row>
    <row r="23" spans="1:11" x14ac:dyDescent="0.35">
      <c r="A23" s="32">
        <v>4141.3897224792272</v>
      </c>
      <c r="B23" s="32">
        <v>-1048.5469793611703</v>
      </c>
      <c r="C23" s="33">
        <v>1</v>
      </c>
      <c r="D23" s="34">
        <v>259.7872014072384</v>
      </c>
      <c r="E23" s="34">
        <v>3621089011.1103716</v>
      </c>
      <c r="G23" s="32"/>
      <c r="H23" s="32"/>
      <c r="I23" s="33"/>
      <c r="J23" s="34"/>
      <c r="K23" s="34"/>
    </row>
    <row r="24" spans="1:11" x14ac:dyDescent="0.35">
      <c r="A24" s="32">
        <v>4461.3537876698147</v>
      </c>
      <c r="B24" s="32">
        <v>-1076.3582615495993</v>
      </c>
      <c r="C24" s="33">
        <v>1</v>
      </c>
      <c r="D24" s="34">
        <v>279.77083228471059</v>
      </c>
      <c r="E24" s="34">
        <v>3989137114.2977519</v>
      </c>
      <c r="G24" s="32"/>
      <c r="H24" s="32"/>
      <c r="I24" s="33"/>
      <c r="J24" s="34"/>
      <c r="K24" s="34"/>
    </row>
    <row r="25" spans="1:11" x14ac:dyDescent="0.35">
      <c r="A25" s="32">
        <v>4781.3178528604012</v>
      </c>
      <c r="B25" s="32">
        <v>-1098.526800108511</v>
      </c>
      <c r="C25" s="33">
        <v>1</v>
      </c>
      <c r="D25" s="34">
        <v>299.75446316218279</v>
      </c>
      <c r="E25" s="34">
        <v>4412500259.0635653</v>
      </c>
      <c r="G25" s="32"/>
      <c r="H25" s="32"/>
      <c r="I25" s="33"/>
      <c r="J25" s="34"/>
      <c r="K25" s="34"/>
    </row>
    <row r="26" spans="1:11" x14ac:dyDescent="0.35">
      <c r="A26" s="32">
        <v>5101.2819180509878</v>
      </c>
      <c r="B26" s="32">
        <v>-1115.0525950379053</v>
      </c>
      <c r="C26" s="33">
        <v>1</v>
      </c>
      <c r="D26" s="34">
        <v>319.73809403965498</v>
      </c>
      <c r="E26" s="34">
        <v>4895267480.6976757</v>
      </c>
      <c r="G26" s="32"/>
      <c r="H26" s="32"/>
      <c r="I26" s="33"/>
      <c r="J26" s="34"/>
      <c r="K26" s="34"/>
    </row>
    <row r="27" spans="1:11" x14ac:dyDescent="0.35">
      <c r="A27" s="32">
        <v>5421.2459832415743</v>
      </c>
      <c r="B27" s="32">
        <v>-1125.9356463377824</v>
      </c>
      <c r="C27" s="33">
        <v>1</v>
      </c>
      <c r="D27" s="34">
        <v>339.72172491712718</v>
      </c>
      <c r="E27" s="34">
        <v>5441505372.3737946</v>
      </c>
      <c r="G27" s="32"/>
      <c r="H27" s="32"/>
      <c r="I27" s="33"/>
      <c r="J27" s="34"/>
      <c r="K27" s="34"/>
    </row>
    <row r="28" spans="1:11" x14ac:dyDescent="0.35">
      <c r="A28" s="32">
        <v>5741.2100484321609</v>
      </c>
      <c r="B28" s="32">
        <v>-1131.1759540081421</v>
      </c>
      <c r="C28" s="33">
        <v>1</v>
      </c>
      <c r="D28" s="34">
        <v>359.70535579459937</v>
      </c>
      <c r="E28" s="34">
        <v>6055264112.0038366</v>
      </c>
      <c r="G28" s="32"/>
      <c r="H28" s="32"/>
      <c r="I28" s="33"/>
      <c r="J28" s="34"/>
      <c r="K28" s="34"/>
    </row>
    <row r="29" spans="1:11" x14ac:dyDescent="0.35">
      <c r="A29" s="32">
        <v>6061.1741136227474</v>
      </c>
      <c r="B29" s="32">
        <v>-1130.7735180489847</v>
      </c>
      <c r="C29" s="33">
        <v>1</v>
      </c>
      <c r="D29" s="34">
        <v>379.68898667207156</v>
      </c>
      <c r="E29" s="34">
        <v>6740581645.8702621</v>
      </c>
      <c r="G29" s="32"/>
      <c r="H29" s="32"/>
      <c r="I29" s="33"/>
      <c r="J29" s="34"/>
      <c r="K29" s="34"/>
    </row>
    <row r="30" spans="1:11" x14ac:dyDescent="0.35">
      <c r="A30" s="32">
        <v>6414.0639327271465</v>
      </c>
      <c r="B30" s="32">
        <v>-1116.4968999818566</v>
      </c>
      <c r="C30" s="33">
        <v>1</v>
      </c>
      <c r="D30" s="34">
        <v>399.67261754954376</v>
      </c>
      <c r="E30" s="34">
        <v>7501486654.8141031</v>
      </c>
      <c r="G30" s="32"/>
      <c r="H30" s="32"/>
      <c r="I30" s="33"/>
      <c r="J30" s="34"/>
      <c r="K30" s="34"/>
    </row>
    <row r="31" spans="1:11" x14ac:dyDescent="0.35">
      <c r="A31" s="32">
        <v>6781.9839143980162</v>
      </c>
      <c r="B31" s="32">
        <v>-1092.8199976435935</v>
      </c>
      <c r="C31" s="33">
        <v>1</v>
      </c>
      <c r="D31" s="34">
        <v>419.65624842701595</v>
      </c>
      <c r="E31" s="34">
        <v>8342000697.1843491</v>
      </c>
      <c r="G31" s="32"/>
      <c r="H31" s="32"/>
      <c r="I31" s="33"/>
      <c r="J31" s="34"/>
      <c r="K31" s="34"/>
    </row>
    <row r="32" spans="1:11" x14ac:dyDescent="0.35">
      <c r="A32" s="32">
        <v>7145.5442672979525</v>
      </c>
      <c r="B32" s="32">
        <v>-1064.5902588685472</v>
      </c>
      <c r="C32" s="33">
        <v>1</v>
      </c>
      <c r="D32" s="34">
        <v>439.63987930448815</v>
      </c>
      <c r="E32" s="34">
        <v>9266139783.3263931</v>
      </c>
      <c r="G32" s="32"/>
      <c r="H32" s="32"/>
      <c r="I32" s="33"/>
      <c r="J32" s="34"/>
      <c r="K32" s="34"/>
    </row>
    <row r="33" spans="1:11" x14ac:dyDescent="0.35">
      <c r="A33" s="32">
        <v>7505.3136386579481</v>
      </c>
      <c r="B33" s="32">
        <v>-1031.6655218489684</v>
      </c>
      <c r="C33" s="33">
        <v>1</v>
      </c>
      <c r="D33" s="34">
        <v>459.62351018196034</v>
      </c>
      <c r="E33" s="34">
        <v>10277915550.089184</v>
      </c>
      <c r="G33" s="32"/>
      <c r="H33" s="32"/>
      <c r="I33" s="33"/>
      <c r="J33" s="34"/>
      <c r="K33" s="34"/>
    </row>
    <row r="34" spans="1:11" x14ac:dyDescent="0.35">
      <c r="A34" s="32">
        <v>7861.7659011704909</v>
      </c>
      <c r="B34" s="32">
        <v>-993.92731841173531</v>
      </c>
      <c r="C34" s="33">
        <v>1</v>
      </c>
      <c r="D34" s="34">
        <v>479.60714105943254</v>
      </c>
      <c r="E34" s="34">
        <v>11381336149.081699</v>
      </c>
      <c r="G34" s="32"/>
      <c r="H34" s="32"/>
      <c r="I34" s="33"/>
      <c r="J34" s="34"/>
      <c r="K34" s="34"/>
    </row>
    <row r="35" spans="1:11" x14ac:dyDescent="0.35">
      <c r="A35" s="32">
        <v>8215.2991078972791</v>
      </c>
      <c r="B35" s="32">
        <v>-951.27613529142377</v>
      </c>
      <c r="C35" s="33">
        <v>1</v>
      </c>
      <c r="D35" s="34">
        <v>499.59077193690473</v>
      </c>
      <c r="E35" s="34">
        <v>12580406926.89411</v>
      </c>
      <c r="G35" s="32"/>
      <c r="H35" s="32"/>
      <c r="I35" s="33"/>
      <c r="J35" s="34"/>
      <c r="K35" s="34"/>
    </row>
    <row r="36" spans="1:11" x14ac:dyDescent="0.35">
      <c r="A36" s="32">
        <v>8566.2500729674357</v>
      </c>
      <c r="B36" s="32">
        <v>-903.62776895575234</v>
      </c>
      <c r="C36" s="33">
        <v>1</v>
      </c>
      <c r="D36" s="34">
        <v>519.57440281437687</v>
      </c>
      <c r="E36" s="34">
        <v>13879130951.99184</v>
      </c>
      <c r="G36" s="32"/>
      <c r="H36" s="32"/>
      <c r="I36" s="33"/>
      <c r="J36" s="34"/>
      <c r="K36" s="34"/>
    </row>
    <row r="37" spans="1:11" x14ac:dyDescent="0.35">
      <c r="A37" s="32">
        <v>8914.9057121205879</v>
      </c>
      <c r="B37" s="32">
        <v>-850.91049046981539</v>
      </c>
      <c r="C37" s="33">
        <v>1</v>
      </c>
      <c r="D37" s="34">
        <v>539.558033691849</v>
      </c>
      <c r="E37" s="34">
        <v>15281509427.143904</v>
      </c>
      <c r="G37" s="32"/>
      <c r="H37" s="32"/>
      <c r="I37" s="33"/>
      <c r="J37" s="34"/>
      <c r="K37" s="34"/>
    </row>
    <row r="38" spans="1:11" x14ac:dyDescent="0.35">
      <c r="A38" s="32">
        <v>9261.5119531335549</v>
      </c>
      <c r="B38" s="32">
        <v>-793.06281788940646</v>
      </c>
      <c r="C38" s="33">
        <v>1</v>
      </c>
      <c r="D38" s="34">
        <v>559.54166456932114</v>
      </c>
      <c r="E38" s="34">
        <v>16791542015.383497</v>
      </c>
      <c r="G38" s="32"/>
      <c r="H38" s="32"/>
      <c r="I38" s="33"/>
      <c r="J38" s="34"/>
      <c r="K38" s="34"/>
    </row>
    <row r="39" spans="1:11" x14ac:dyDescent="0.35">
      <c r="A39" s="32">
        <v>9606.2808027104984</v>
      </c>
      <c r="B39" s="32">
        <v>-730.03174953848713</v>
      </c>
      <c r="C39" s="33">
        <v>1</v>
      </c>
      <c r="D39" s="34">
        <v>579.52529544679328</v>
      </c>
      <c r="E39" s="34">
        <v>18090021803.728935</v>
      </c>
      <c r="G39" s="32"/>
      <c r="H39" s="32"/>
      <c r="I39" s="33"/>
      <c r="J39" s="34"/>
      <c r="K39" s="34"/>
    </row>
    <row r="40" spans="1:11" x14ac:dyDescent="0.35">
      <c r="A40" s="32">
        <v>9949.3960000000006</v>
      </c>
      <c r="B40" s="32">
        <v>-661.7713506315107</v>
      </c>
      <c r="C40" s="33">
        <v>1</v>
      </c>
      <c r="D40" s="34">
        <v>599.50892632416549</v>
      </c>
      <c r="E40" s="34">
        <v>19827115527.784042</v>
      </c>
      <c r="G40" s="32"/>
      <c r="H40" s="32"/>
      <c r="I40" s="33"/>
      <c r="J40" s="34"/>
      <c r="K40" s="34"/>
    </row>
    <row r="41" spans="1:11" x14ac:dyDescent="0.35">
      <c r="A41" s="32">
        <v>9949.3960000000006</v>
      </c>
      <c r="B41" s="32">
        <v>0</v>
      </c>
      <c r="C41" s="33">
        <v>1</v>
      </c>
      <c r="D41" s="34"/>
      <c r="E41" s="34"/>
      <c r="G41" s="32"/>
      <c r="H41" s="32"/>
      <c r="I41" s="33"/>
      <c r="J41" s="34"/>
      <c r="K41" s="34"/>
    </row>
    <row r="42" spans="1:11" x14ac:dyDescent="0.35">
      <c r="A42" s="32"/>
      <c r="B42" s="32"/>
      <c r="C42" s="33"/>
      <c r="D42" s="34"/>
      <c r="E42" s="34"/>
      <c r="G42" s="32"/>
      <c r="H42" s="32"/>
      <c r="I42" s="33"/>
      <c r="J42" s="34"/>
      <c r="K42" s="34"/>
    </row>
    <row r="43" spans="1:11" x14ac:dyDescent="0.35">
      <c r="A43" s="32">
        <v>-800</v>
      </c>
      <c r="B43" s="32">
        <v>8.500000000589651</v>
      </c>
      <c r="C43" s="33">
        <v>1</v>
      </c>
      <c r="D43" s="34">
        <v>1E-10</v>
      </c>
      <c r="E43" s="34">
        <v>920485990.18187022</v>
      </c>
      <c r="G43" s="32"/>
      <c r="H43" s="32"/>
      <c r="I43" s="33"/>
      <c r="J43" s="34"/>
      <c r="K43" s="34"/>
    </row>
    <row r="44" spans="1:11" x14ac:dyDescent="0.35">
      <c r="A44" s="32">
        <v>-359.12892694549589</v>
      </c>
      <c r="B44" s="32">
        <v>109.94570867007891</v>
      </c>
      <c r="C44" s="33">
        <v>1</v>
      </c>
      <c r="D44" s="34">
        <v>20.040278833687811</v>
      </c>
      <c r="E44" s="34">
        <v>1834171157.2592807</v>
      </c>
      <c r="G44" s="32"/>
      <c r="H44" s="32"/>
      <c r="I44" s="33"/>
      <c r="J44" s="34"/>
      <c r="K44" s="34"/>
    </row>
    <row r="45" spans="1:11" x14ac:dyDescent="0.35">
      <c r="A45" s="32">
        <v>-38.257853892592948</v>
      </c>
      <c r="B45" s="32">
        <v>205.71663719442427</v>
      </c>
      <c r="C45" s="33">
        <v>1</v>
      </c>
      <c r="D45" s="34">
        <v>40.080557667275627</v>
      </c>
      <c r="E45" s="34">
        <v>2067098433.2345698</v>
      </c>
      <c r="G45" s="32"/>
      <c r="H45" s="32"/>
      <c r="I45" s="33"/>
      <c r="J45" s="34"/>
      <c r="K45" s="34"/>
    </row>
    <row r="46" spans="1:11" x14ac:dyDescent="0.35">
      <c r="A46" s="32">
        <v>449.37187629832226</v>
      </c>
      <c r="B46" s="32">
        <v>337.50244985805944</v>
      </c>
      <c r="C46" s="33">
        <v>1</v>
      </c>
      <c r="D46" s="34">
        <v>60.12083650086344</v>
      </c>
      <c r="E46" s="34">
        <v>2183580953.7122993</v>
      </c>
      <c r="G46" s="32"/>
      <c r="H46" s="32"/>
      <c r="I46" s="33"/>
      <c r="J46" s="34"/>
      <c r="K46" s="34"/>
    </row>
    <row r="47" spans="1:11" x14ac:dyDescent="0.35">
      <c r="A47" s="32">
        <v>988.55328506644969</v>
      </c>
      <c r="B47" s="32">
        <v>476.5014020207845</v>
      </c>
      <c r="C47" s="33">
        <v>1</v>
      </c>
      <c r="D47" s="34">
        <v>80.161115334451253</v>
      </c>
      <c r="E47" s="34">
        <v>2266950205.2494688</v>
      </c>
      <c r="G47" s="32"/>
      <c r="H47" s="32"/>
      <c r="I47" s="33"/>
      <c r="J47" s="34"/>
      <c r="K47" s="34"/>
    </row>
    <row r="48" spans="1:11" x14ac:dyDescent="0.35">
      <c r="A48" s="32">
        <v>1422.2674345485743</v>
      </c>
      <c r="B48" s="32">
        <v>583.45875921679567</v>
      </c>
      <c r="C48" s="33">
        <v>1</v>
      </c>
      <c r="D48" s="34">
        <v>100.20139416803906</v>
      </c>
      <c r="E48" s="34">
        <v>2345688056.1486454</v>
      </c>
      <c r="G48" s="32"/>
      <c r="H48" s="32"/>
      <c r="I48" s="33"/>
      <c r="J48" s="34"/>
      <c r="K48" s="34"/>
    </row>
    <row r="49" spans="1:11" x14ac:dyDescent="0.35">
      <c r="A49" s="32">
        <v>1830.4626418876619</v>
      </c>
      <c r="B49" s="32">
        <v>678.36160073183419</v>
      </c>
      <c r="C49" s="33">
        <v>1</v>
      </c>
      <c r="D49" s="34">
        <v>120.24167300162688</v>
      </c>
      <c r="E49" s="34">
        <v>2433113771.8699093</v>
      </c>
      <c r="G49" s="32"/>
      <c r="H49" s="32"/>
      <c r="I49" s="33"/>
      <c r="J49" s="34"/>
      <c r="K49" s="34"/>
    </row>
    <row r="50" spans="1:11" x14ac:dyDescent="0.35">
      <c r="A50" s="32">
        <v>2213.7080965735713</v>
      </c>
      <c r="B50" s="32">
        <v>761.35222393836511</v>
      </c>
      <c r="C50" s="33">
        <v>1</v>
      </c>
      <c r="D50" s="34">
        <v>140.2819518352147</v>
      </c>
      <c r="E50" s="34">
        <v>2537754793.6935115</v>
      </c>
      <c r="G50" s="32"/>
      <c r="H50" s="32"/>
      <c r="I50" s="33"/>
      <c r="J50" s="34"/>
      <c r="K50" s="34"/>
    </row>
    <row r="51" spans="1:11" x14ac:dyDescent="0.35">
      <c r="A51" s="32">
        <v>2548.8254594248247</v>
      </c>
      <c r="B51" s="32">
        <v>826.63604404101886</v>
      </c>
      <c r="C51" s="33">
        <v>1</v>
      </c>
      <c r="D51" s="34">
        <v>160.32223066880252</v>
      </c>
      <c r="E51" s="34">
        <v>2666048095.1144009</v>
      </c>
      <c r="G51" s="32"/>
      <c r="H51" s="32"/>
      <c r="I51" s="33"/>
      <c r="J51" s="34"/>
      <c r="K51" s="34"/>
    </row>
    <row r="52" spans="1:11" x14ac:dyDescent="0.35">
      <c r="A52" s="32">
        <v>2869.6965324777275</v>
      </c>
      <c r="B52" s="32">
        <v>882.68351154887171</v>
      </c>
      <c r="C52" s="33">
        <v>1</v>
      </c>
      <c r="D52" s="34">
        <v>180.36250950239034</v>
      </c>
      <c r="E52" s="34">
        <v>2823427078.1692839</v>
      </c>
      <c r="G52" s="32"/>
      <c r="H52" s="32"/>
      <c r="I52" s="33"/>
      <c r="J52" s="34"/>
      <c r="K52" s="34"/>
    </row>
    <row r="53" spans="1:11" x14ac:dyDescent="0.35">
      <c r="A53" s="32">
        <v>3190.5676055306308</v>
      </c>
      <c r="B53" s="32">
        <v>933.05619891151139</v>
      </c>
      <c r="C53" s="33">
        <v>1</v>
      </c>
      <c r="D53" s="34">
        <v>200.40278833597816</v>
      </c>
      <c r="E53" s="34">
        <v>3014794212.2675123</v>
      </c>
      <c r="G53" s="32"/>
      <c r="H53" s="32"/>
      <c r="I53" s="33"/>
      <c r="J53" s="34"/>
      <c r="K53" s="34"/>
    </row>
    <row r="54" spans="1:11" x14ac:dyDescent="0.35">
      <c r="A54" s="32">
        <v>3511.4386785835341</v>
      </c>
      <c r="B54" s="32">
        <v>977.75410612893779</v>
      </c>
      <c r="C54" s="33">
        <v>1</v>
      </c>
      <c r="D54" s="34">
        <v>220.44306716956598</v>
      </c>
      <c r="E54" s="34">
        <v>3244749555.7770157</v>
      </c>
      <c r="G54" s="32"/>
      <c r="H54" s="32"/>
      <c r="I54" s="33"/>
      <c r="J54" s="34"/>
      <c r="K54" s="34"/>
    </row>
    <row r="55" spans="1:11" x14ac:dyDescent="0.35">
      <c r="A55" s="32">
        <v>3832.3097516364364</v>
      </c>
      <c r="B55" s="32">
        <v>1016.7772332011511</v>
      </c>
      <c r="C55" s="33">
        <v>1</v>
      </c>
      <c r="D55" s="34">
        <v>240.4833460031538</v>
      </c>
      <c r="E55" s="34">
        <v>3517710601.7113314</v>
      </c>
      <c r="G55" s="32"/>
      <c r="H55" s="32"/>
      <c r="I55" s="33"/>
      <c r="J55" s="34"/>
      <c r="K55" s="34"/>
    </row>
    <row r="56" spans="1:11" x14ac:dyDescent="0.35">
      <c r="A56" s="32">
        <v>4153.1808246893406</v>
      </c>
      <c r="B56" s="32">
        <v>1050.1255801281511</v>
      </c>
      <c r="C56" s="33">
        <v>1</v>
      </c>
      <c r="D56" s="34">
        <v>260.52362483674159</v>
      </c>
      <c r="E56" s="34">
        <v>3837979315.1042542</v>
      </c>
      <c r="G56" s="32"/>
      <c r="H56" s="32"/>
      <c r="I56" s="33"/>
      <c r="J56" s="34"/>
      <c r="K56" s="34"/>
    </row>
    <row r="57" spans="1:11" x14ac:dyDescent="0.35">
      <c r="A57" s="32">
        <v>4474.0518977422425</v>
      </c>
      <c r="B57" s="32">
        <v>1077.7991469099379</v>
      </c>
      <c r="C57" s="33">
        <v>1</v>
      </c>
      <c r="D57" s="34">
        <v>280.56390367032941</v>
      </c>
      <c r="E57" s="34">
        <v>4209781652.2252693</v>
      </c>
      <c r="G57" s="32"/>
      <c r="H57" s="32"/>
      <c r="I57" s="33"/>
      <c r="J57" s="34"/>
      <c r="K57" s="34"/>
    </row>
    <row r="58" spans="1:11" x14ac:dyDescent="0.35">
      <c r="A58" s="32">
        <v>4794.9229707951463</v>
      </c>
      <c r="B58" s="32">
        <v>1099.7979335465118</v>
      </c>
      <c r="C58" s="33">
        <v>1</v>
      </c>
      <c r="D58" s="34">
        <v>300.60418250391723</v>
      </c>
      <c r="E58" s="34">
        <v>4637291896.3356133</v>
      </c>
      <c r="G58" s="32"/>
      <c r="H58" s="32"/>
      <c r="I58" s="33"/>
      <c r="J58" s="34"/>
      <c r="K58" s="34"/>
    </row>
    <row r="59" spans="1:11" x14ac:dyDescent="0.35">
      <c r="A59" s="32">
        <v>5115.7940438480482</v>
      </c>
      <c r="B59" s="32">
        <v>1116.1219400378718</v>
      </c>
      <c r="C59" s="33">
        <v>1</v>
      </c>
      <c r="D59" s="34">
        <v>320.64446133750505</v>
      </c>
      <c r="E59" s="34">
        <v>5124648206.2198296</v>
      </c>
      <c r="G59" s="32"/>
      <c r="H59" s="32"/>
      <c r="I59" s="33"/>
      <c r="J59" s="34"/>
      <c r="K59" s="34"/>
    </row>
    <row r="60" spans="1:11" x14ac:dyDescent="0.35">
      <c r="A60" s="32">
        <v>5436.6651169009519</v>
      </c>
      <c r="B60" s="32">
        <v>1126.7711663840191</v>
      </c>
      <c r="C60" s="33">
        <v>1</v>
      </c>
      <c r="D60" s="34">
        <v>340.68474017109287</v>
      </c>
      <c r="E60" s="34">
        <v>5675962869.1016693</v>
      </c>
      <c r="G60" s="32"/>
      <c r="H60" s="32"/>
      <c r="I60" s="33"/>
      <c r="J60" s="34"/>
      <c r="K60" s="34"/>
    </row>
    <row r="61" spans="1:11" x14ac:dyDescent="0.35">
      <c r="A61" s="32">
        <v>5757.5361899538548</v>
      </c>
      <c r="B61" s="32">
        <v>1131.7456125849533</v>
      </c>
      <c r="C61" s="33">
        <v>1</v>
      </c>
      <c r="D61" s="34">
        <v>360.72501900468069</v>
      </c>
      <c r="E61" s="34">
        <v>6295329249.1318779</v>
      </c>
      <c r="G61" s="32"/>
      <c r="H61" s="32"/>
      <c r="I61" s="33"/>
      <c r="J61" s="34"/>
      <c r="K61" s="34"/>
    </row>
    <row r="62" spans="1:11" x14ac:dyDescent="0.35">
      <c r="A62" s="32">
        <v>6078.4072630067585</v>
      </c>
      <c r="B62" s="32">
        <v>1131.045278640674</v>
      </c>
      <c r="C62" s="33">
        <v>1</v>
      </c>
      <c r="D62" s="34">
        <v>380.76529783826851</v>
      </c>
      <c r="E62" s="34">
        <v>6986826610.5970192</v>
      </c>
      <c r="G62" s="32"/>
      <c r="H62" s="32"/>
      <c r="I62" s="33"/>
      <c r="J62" s="34"/>
      <c r="K62" s="34"/>
    </row>
    <row r="63" spans="1:11" x14ac:dyDescent="0.35">
      <c r="A63" s="32">
        <v>6399.2783360596613</v>
      </c>
      <c r="B63" s="32">
        <v>1124.6701645511816</v>
      </c>
      <c r="C63" s="33">
        <v>1</v>
      </c>
      <c r="D63" s="34">
        <v>400.80557667185633</v>
      </c>
      <c r="E63" s="34">
        <v>7754523537.4470367</v>
      </c>
      <c r="G63" s="32"/>
      <c r="H63" s="32"/>
      <c r="I63" s="33"/>
      <c r="J63" s="34"/>
      <c r="K63" s="34"/>
    </row>
    <row r="64" spans="1:11" x14ac:dyDescent="0.35">
      <c r="A64" s="32">
        <v>6399.2783360596613</v>
      </c>
      <c r="B64" s="32">
        <v>1124.6701645511816</v>
      </c>
      <c r="C64" s="33">
        <v>1</v>
      </c>
      <c r="D64" s="34">
        <v>420.84585550544415</v>
      </c>
      <c r="E64" s="34">
        <v>7754523537.4470367</v>
      </c>
      <c r="G64" s="32"/>
      <c r="H64" s="32"/>
      <c r="I64" s="33"/>
      <c r="J64" s="34"/>
      <c r="K64" s="34"/>
    </row>
    <row r="65" spans="1:11" x14ac:dyDescent="0.35">
      <c r="A65" s="32">
        <v>7128.3935626782923</v>
      </c>
      <c r="B65" s="32">
        <v>1070.86799879553</v>
      </c>
      <c r="C65" s="33">
        <v>1</v>
      </c>
      <c r="D65" s="34">
        <v>440.88613433903197</v>
      </c>
      <c r="E65" s="34">
        <v>9534751188.3977528</v>
      </c>
      <c r="G65" s="32"/>
      <c r="H65" s="32"/>
      <c r="I65" s="33"/>
      <c r="J65" s="34"/>
      <c r="K65" s="34"/>
    </row>
    <row r="66" spans="1:11" x14ac:dyDescent="0.35">
      <c r="A66" s="32">
        <v>7490.6831974480219</v>
      </c>
      <c r="B66" s="32">
        <v>1036.0784397982709</v>
      </c>
      <c r="C66" s="33">
        <v>1</v>
      </c>
      <c r="D66" s="34">
        <v>460.92641317261979</v>
      </c>
      <c r="E66" s="34">
        <v>10555384829.633453</v>
      </c>
      <c r="G66" s="32"/>
      <c r="H66" s="32"/>
      <c r="I66" s="33"/>
      <c r="J66" s="34"/>
      <c r="K66" s="34"/>
    </row>
    <row r="67" spans="1:11" x14ac:dyDescent="0.35">
      <c r="A67" s="32">
        <v>7849.5212854080146</v>
      </c>
      <c r="B67" s="32">
        <v>996.5632760284758</v>
      </c>
      <c r="C67" s="33">
        <v>1</v>
      </c>
      <c r="D67" s="34">
        <v>480.96669200620761</v>
      </c>
      <c r="E67" s="34">
        <v>11668426248.328104</v>
      </c>
      <c r="G67" s="32"/>
      <c r="H67" s="32"/>
      <c r="I67" s="33"/>
      <c r="J67" s="34"/>
      <c r="K67" s="34"/>
    </row>
    <row r="68" spans="1:11" x14ac:dyDescent="0.35">
      <c r="A68" s="32">
        <v>7849.5212854080146</v>
      </c>
      <c r="B68" s="32">
        <v>996.5632760284758</v>
      </c>
      <c r="C68" s="33">
        <v>1</v>
      </c>
      <c r="D68" s="34">
        <v>501.00697083979543</v>
      </c>
      <c r="E68" s="34">
        <v>11668426248.328104</v>
      </c>
      <c r="G68" s="32"/>
      <c r="H68" s="32"/>
      <c r="I68" s="33"/>
      <c r="J68" s="34"/>
      <c r="K68" s="34"/>
    </row>
    <row r="69" spans="1:11" x14ac:dyDescent="0.35">
      <c r="A69" s="32">
        <v>8558.4358425032879</v>
      </c>
      <c r="B69" s="32">
        <v>902.91805323004201</v>
      </c>
      <c r="C69" s="33">
        <v>1</v>
      </c>
      <c r="D69" s="34">
        <v>521.04724967338325</v>
      </c>
      <c r="E69" s="34">
        <v>14187896543.971609</v>
      </c>
      <c r="G69" s="32"/>
      <c r="H69" s="32"/>
      <c r="I69" s="33"/>
      <c r="J69" s="34"/>
      <c r="K69" s="34"/>
    </row>
    <row r="70" spans="1:11" x14ac:dyDescent="0.35">
      <c r="A70" s="32">
        <v>8909.1613204404002</v>
      </c>
      <c r="B70" s="32">
        <v>848.60951678089964</v>
      </c>
      <c r="C70" s="33">
        <v>1</v>
      </c>
      <c r="D70" s="34">
        <v>541.08752850697101</v>
      </c>
      <c r="E70" s="34">
        <v>15602401394.980139</v>
      </c>
      <c r="G70" s="32"/>
      <c r="H70" s="32"/>
      <c r="I70" s="33"/>
      <c r="J70" s="34"/>
      <c r="K70" s="34"/>
    </row>
    <row r="71" spans="1:11" x14ac:dyDescent="0.35">
      <c r="A71" s="32">
        <v>9257.7543408857837</v>
      </c>
      <c r="B71" s="32">
        <v>789.21262599676982</v>
      </c>
      <c r="C71" s="33">
        <v>1</v>
      </c>
      <c r="D71" s="34">
        <v>561.12780734055877</v>
      </c>
      <c r="E71" s="34">
        <v>17125466822.661921</v>
      </c>
      <c r="G71" s="32"/>
      <c r="H71" s="32"/>
      <c r="I71" s="33"/>
      <c r="J71" s="34"/>
      <c r="K71" s="34"/>
    </row>
    <row r="72" spans="1:11" x14ac:dyDescent="0.35">
      <c r="A72" s="32">
        <v>9257.7543408857837</v>
      </c>
      <c r="B72" s="32">
        <v>789.21262599676982</v>
      </c>
      <c r="C72" s="33">
        <v>1</v>
      </c>
      <c r="D72" s="34">
        <v>581.16808617414654</v>
      </c>
      <c r="E72" s="34">
        <v>17125466822.661921</v>
      </c>
      <c r="G72" s="32"/>
      <c r="H72" s="32"/>
      <c r="I72" s="33"/>
      <c r="J72" s="34"/>
      <c r="K72" s="34"/>
    </row>
    <row r="73" spans="1:11" x14ac:dyDescent="0.35">
      <c r="A73" s="32">
        <v>9949.3960000000006</v>
      </c>
      <c r="B73" s="32">
        <v>654.91921109981718</v>
      </c>
      <c r="C73" s="33">
        <v>1</v>
      </c>
      <c r="D73" s="34">
        <v>601.20836500763437</v>
      </c>
      <c r="E73" s="34">
        <v>20161458514.347672</v>
      </c>
      <c r="G73" s="32"/>
      <c r="H73" s="32"/>
      <c r="I73" s="33"/>
      <c r="J73" s="34"/>
      <c r="K73" s="34"/>
    </row>
    <row r="74" spans="1:11" x14ac:dyDescent="0.35">
      <c r="A74" s="32">
        <v>9949.3960000000006</v>
      </c>
      <c r="B74" s="32">
        <v>0</v>
      </c>
      <c r="C74" s="33">
        <v>1</v>
      </c>
      <c r="D74" s="34"/>
      <c r="E74" s="34"/>
      <c r="G74" s="32"/>
      <c r="H74" s="32"/>
      <c r="I74" s="33"/>
      <c r="J74" s="34"/>
      <c r="K74" s="34"/>
    </row>
    <row r="75" spans="1:11" x14ac:dyDescent="0.35">
      <c r="A75" s="32"/>
      <c r="B75" s="32"/>
      <c r="C75" s="33"/>
      <c r="D75" s="34"/>
      <c r="E75" s="34"/>
      <c r="G75" s="32"/>
      <c r="H75" s="32"/>
      <c r="I75" s="33"/>
      <c r="J75" s="34"/>
      <c r="K75" s="34"/>
    </row>
    <row r="76" spans="1:11" x14ac:dyDescent="0.35">
      <c r="A76" s="32"/>
      <c r="B76" s="32"/>
      <c r="C76" s="33"/>
      <c r="D76" s="34"/>
      <c r="E76" s="34"/>
      <c r="G76" s="32"/>
      <c r="H76" s="32"/>
      <c r="I76" s="33"/>
      <c r="J76" s="34"/>
      <c r="K76" s="34"/>
    </row>
  </sheetData>
  <mergeCells count="3">
    <mergeCell ref="A1:C2"/>
    <mergeCell ref="E1:H2"/>
    <mergeCell ref="E3:H4"/>
  </mergeCells>
  <hyperlinks>
    <hyperlink ref="B3" r:id="rId1" display="WeldGroup" xr:uid="{F122B056-7E6E-4F55-8E8D-9A5C089CA0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8EC3D-A5D4-481B-BB72-7272A097E0EC}">
  <dimension ref="A1:K76"/>
  <sheetViews>
    <sheetView workbookViewId="0">
      <selection sqref="A1:K1048576"/>
    </sheetView>
  </sheetViews>
  <sheetFormatPr defaultRowHeight="14.5" x14ac:dyDescent="0.35"/>
  <cols>
    <col min="1" max="2" width="7.7265625" customWidth="1"/>
    <col min="3" max="3" width="6.453125" customWidth="1"/>
    <col min="4" max="4" width="8.1796875" customWidth="1"/>
    <col min="5" max="9" width="7.7265625" customWidth="1"/>
    <col min="10" max="10" width="9.26953125" customWidth="1"/>
    <col min="11" max="11" width="7.7265625" customWidth="1"/>
    <col min="12" max="12" width="7" customWidth="1"/>
  </cols>
  <sheetData>
    <row r="1" spans="1:11" ht="14.5" customHeight="1" x14ac:dyDescent="0.35">
      <c r="A1" s="39" t="str">
        <f>IF([3]Input!A1="","",[3]Input!A1)</f>
        <v/>
      </c>
      <c r="B1" s="49"/>
      <c r="C1" s="50"/>
      <c r="D1" s="1" t="s">
        <v>0</v>
      </c>
      <c r="E1" s="40" t="str">
        <f>IF([3]Input!E1="","",[3]Input!E1)</f>
        <v>OLN PTUS</v>
      </c>
      <c r="F1" s="49"/>
      <c r="G1" s="49"/>
      <c r="H1" s="49"/>
      <c r="I1" s="1" t="s">
        <v>1</v>
      </c>
      <c r="J1" s="2" t="str">
        <f>IF([3]Input!K1="","",[3]Input!K1)</f>
        <v/>
      </c>
      <c r="K1" s="3"/>
    </row>
    <row r="2" spans="1:11" ht="14.5" customHeight="1" x14ac:dyDescent="0.35">
      <c r="A2" s="51"/>
      <c r="B2" s="52"/>
      <c r="C2" s="53"/>
      <c r="D2" s="4"/>
      <c r="E2" s="52"/>
      <c r="F2" s="52"/>
      <c r="G2" s="52"/>
      <c r="H2" s="52"/>
      <c r="I2" s="5" t="s">
        <v>2</v>
      </c>
      <c r="J2" s="6">
        <f ca="1">NOW()</f>
        <v>46155.750915972225</v>
      </c>
      <c r="K2" s="7"/>
    </row>
    <row r="3" spans="1:11" ht="14.5" customHeight="1" x14ac:dyDescent="0.35">
      <c r="A3" s="8"/>
      <c r="B3" s="9" t="s">
        <v>3</v>
      </c>
      <c r="C3" s="10"/>
      <c r="D3" s="11" t="s">
        <v>4</v>
      </c>
      <c r="E3" s="45" t="str">
        <f>IF([3]Input!E3="","",[3]Input!E3)</f>
        <v>Bain Adit - Final Lining</v>
      </c>
      <c r="F3" s="54"/>
      <c r="G3" s="54"/>
      <c r="H3" s="54"/>
      <c r="I3" s="11" t="s">
        <v>5</v>
      </c>
      <c r="J3" s="12" t="str">
        <f>IF([3]Input!K3="","",[3]Input!K3)</f>
        <v/>
      </c>
      <c r="K3" s="13"/>
    </row>
    <row r="4" spans="1:11" ht="15" customHeight="1" thickBot="1" x14ac:dyDescent="0.4">
      <c r="A4" s="14"/>
      <c r="B4" s="15">
        <f>[3]Input!B4</f>
        <v>2021.04</v>
      </c>
      <c r="C4" s="16"/>
      <c r="D4" s="17"/>
      <c r="E4" s="55"/>
      <c r="F4" s="55"/>
      <c r="G4" s="55"/>
      <c r="H4" s="55"/>
      <c r="I4" s="18" t="s">
        <v>2</v>
      </c>
      <c r="J4" s="19">
        <f>IF([3]Input!K4="","",[3]Input!K4)</f>
        <v>46154.423999768522</v>
      </c>
      <c r="K4" s="20"/>
    </row>
    <row r="6" spans="1:11" ht="19" x14ac:dyDescent="0.5">
      <c r="A6" s="21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3"/>
    </row>
    <row r="8" spans="1:11" ht="54.5" x14ac:dyDescent="0.4">
      <c r="A8" s="24" t="s">
        <v>7</v>
      </c>
      <c r="B8" s="25" t="s">
        <v>8</v>
      </c>
      <c r="C8" s="26" t="s">
        <v>9</v>
      </c>
      <c r="D8" s="27" t="s">
        <v>10</v>
      </c>
      <c r="E8" s="27" t="s">
        <v>11</v>
      </c>
      <c r="G8" s="24" t="s">
        <v>7</v>
      </c>
      <c r="H8" s="25" t="s">
        <v>12</v>
      </c>
      <c r="I8" s="26" t="s">
        <v>9</v>
      </c>
      <c r="J8" s="27" t="s">
        <v>13</v>
      </c>
      <c r="K8" s="27" t="s">
        <v>11</v>
      </c>
    </row>
    <row r="9" spans="1:11" x14ac:dyDescent="0.35">
      <c r="A9" s="28" t="str">
        <f>UnitForce</f>
        <v>kN</v>
      </c>
      <c r="B9" s="29" t="str">
        <f>UnitMoment</f>
        <v>kN-M</v>
      </c>
      <c r="C9" s="30"/>
      <c r="D9" s="29" t="str">
        <f>UnitLength</f>
        <v>mm</v>
      </c>
      <c r="E9" s="31" t="str">
        <f>UnitLength&amp;"^4"</f>
        <v>mm^4</v>
      </c>
      <c r="G9" s="28" t="str">
        <f>UnitForce</f>
        <v>kN</v>
      </c>
      <c r="H9" s="29" t="str">
        <f>UnitMoment</f>
        <v>kN-M</v>
      </c>
      <c r="I9" s="30"/>
      <c r="J9" s="29" t="str">
        <f>UnitLength</f>
        <v>mm</v>
      </c>
      <c r="K9" s="31" t="str">
        <f>UnitLength&amp;"^4"</f>
        <v>mm^4</v>
      </c>
    </row>
    <row r="10" spans="1:11" x14ac:dyDescent="0.35">
      <c r="A10" s="32">
        <v>-1200</v>
      </c>
      <c r="B10" s="32">
        <v>12.749999999410349</v>
      </c>
      <c r="C10" s="33">
        <v>1</v>
      </c>
      <c r="D10" s="34">
        <v>1E-10</v>
      </c>
      <c r="E10" s="34">
        <v>1380728985.2645102</v>
      </c>
      <c r="G10" s="32"/>
      <c r="H10" s="32"/>
      <c r="I10" s="33"/>
      <c r="J10" s="34"/>
      <c r="K10" s="34"/>
    </row>
    <row r="11" spans="1:11" x14ac:dyDescent="0.35">
      <c r="A11" s="32">
        <v>-697.55282864354399</v>
      </c>
      <c r="B11" s="32">
        <v>-89.179998001033752</v>
      </c>
      <c r="C11" s="33">
        <v>1</v>
      </c>
      <c r="D11" s="34">
        <v>20.138715408663998</v>
      </c>
      <c r="E11" s="34">
        <v>2362272011.9474711</v>
      </c>
      <c r="G11" s="32"/>
      <c r="H11" s="32"/>
      <c r="I11" s="33"/>
      <c r="J11" s="34"/>
      <c r="K11" s="34"/>
    </row>
    <row r="12" spans="1:11" x14ac:dyDescent="0.35">
      <c r="A12" s="32">
        <v>-118.56516140244219</v>
      </c>
      <c r="B12" s="32">
        <v>-255.92796699069305</v>
      </c>
      <c r="C12" s="33">
        <v>1</v>
      </c>
      <c r="D12" s="34">
        <v>40.277430817227994</v>
      </c>
      <c r="E12" s="34">
        <v>2692896403.8087006</v>
      </c>
      <c r="G12" s="32"/>
      <c r="H12" s="32"/>
      <c r="I12" s="33"/>
      <c r="J12" s="34"/>
      <c r="K12" s="34"/>
    </row>
    <row r="13" spans="1:11" x14ac:dyDescent="0.35">
      <c r="A13" s="32">
        <v>611.15382382294445</v>
      </c>
      <c r="B13" s="32">
        <v>-458.39638304645871</v>
      </c>
      <c r="C13" s="33">
        <v>1</v>
      </c>
      <c r="D13" s="34">
        <v>60.416146225791991</v>
      </c>
      <c r="E13" s="34">
        <v>2867370098.6292801</v>
      </c>
      <c r="G13" s="32"/>
      <c r="H13" s="32"/>
      <c r="I13" s="33"/>
      <c r="J13" s="34"/>
      <c r="K13" s="34"/>
    </row>
    <row r="14" spans="1:11" x14ac:dyDescent="0.35">
      <c r="A14" s="32">
        <v>1150.8442458633349</v>
      </c>
      <c r="B14" s="32">
        <v>-602.87627884677829</v>
      </c>
      <c r="C14" s="33">
        <v>1</v>
      </c>
      <c r="D14" s="34">
        <v>80.554861634355987</v>
      </c>
      <c r="E14" s="34">
        <v>2991079093.5213461</v>
      </c>
      <c r="G14" s="32"/>
      <c r="H14" s="32"/>
      <c r="I14" s="33"/>
      <c r="J14" s="34"/>
      <c r="K14" s="34"/>
    </row>
    <row r="15" spans="1:11" x14ac:dyDescent="0.35">
      <c r="A15" s="32">
        <v>1585.0211692758751</v>
      </c>
      <c r="B15" s="32">
        <v>-712.60929714486724</v>
      </c>
      <c r="C15" s="33">
        <v>1</v>
      </c>
      <c r="D15" s="34">
        <v>100.69357704291998</v>
      </c>
      <c r="E15" s="34">
        <v>3097840513.1363187</v>
      </c>
      <c r="G15" s="32"/>
      <c r="H15" s="32"/>
      <c r="I15" s="33"/>
      <c r="J15" s="34"/>
      <c r="K15" s="34"/>
    </row>
    <row r="16" spans="1:11" x14ac:dyDescent="0.35">
      <c r="A16" s="32">
        <v>1907.4683406307304</v>
      </c>
      <c r="B16" s="32">
        <v>-785.88596824752062</v>
      </c>
      <c r="C16" s="33">
        <v>1</v>
      </c>
      <c r="D16" s="34">
        <v>120.83229245148398</v>
      </c>
      <c r="E16" s="34">
        <v>3206166074.6109705</v>
      </c>
      <c r="G16" s="32"/>
      <c r="H16" s="32"/>
      <c r="I16" s="33"/>
      <c r="J16" s="34"/>
      <c r="K16" s="34"/>
    </row>
    <row r="17" spans="1:11" x14ac:dyDescent="0.35">
      <c r="A17" s="32">
        <v>2229.9155119855855</v>
      </c>
      <c r="B17" s="32">
        <v>-853.43197397060203</v>
      </c>
      <c r="C17" s="33">
        <v>1</v>
      </c>
      <c r="D17" s="34">
        <v>140.97100786004799</v>
      </c>
      <c r="E17" s="34">
        <v>3327281136.8945408</v>
      </c>
      <c r="G17" s="32"/>
      <c r="H17" s="32"/>
      <c r="I17" s="33"/>
      <c r="J17" s="34"/>
      <c r="K17" s="34"/>
    </row>
    <row r="18" spans="1:11" x14ac:dyDescent="0.35">
      <c r="A18" s="32">
        <v>2552.3626833404405</v>
      </c>
      <c r="B18" s="32">
        <v>-915.24731431411169</v>
      </c>
      <c r="C18" s="33">
        <v>1</v>
      </c>
      <c r="D18" s="34">
        <v>161.10972326861199</v>
      </c>
      <c r="E18" s="34">
        <v>3469208750.9818716</v>
      </c>
      <c r="G18" s="32"/>
      <c r="H18" s="32"/>
      <c r="I18" s="33"/>
      <c r="J18" s="34"/>
      <c r="K18" s="34"/>
    </row>
    <row r="19" spans="1:11" x14ac:dyDescent="0.35">
      <c r="A19" s="32">
        <v>2874.8098546952951</v>
      </c>
      <c r="B19" s="32">
        <v>-971.33198927804892</v>
      </c>
      <c r="C19" s="33">
        <v>1</v>
      </c>
      <c r="D19" s="34">
        <v>181.24843867717598</v>
      </c>
      <c r="E19" s="34">
        <v>3638383644.2427249</v>
      </c>
      <c r="G19" s="32"/>
      <c r="H19" s="32"/>
      <c r="I19" s="33"/>
      <c r="J19" s="34"/>
      <c r="K19" s="34"/>
    </row>
    <row r="20" spans="1:11" x14ac:dyDescent="0.35">
      <c r="A20" s="32">
        <v>3197.2570260501498</v>
      </c>
      <c r="B20" s="32">
        <v>-1021.6859988624144</v>
      </c>
      <c r="C20" s="33">
        <v>1</v>
      </c>
      <c r="D20" s="34">
        <v>201.38715408573998</v>
      </c>
      <c r="E20" s="34">
        <v>3840379441.1915069</v>
      </c>
      <c r="G20" s="32"/>
      <c r="H20" s="32"/>
      <c r="I20" s="33"/>
      <c r="J20" s="34"/>
      <c r="K20" s="34"/>
    </row>
    <row r="21" spans="1:11" x14ac:dyDescent="0.35">
      <c r="A21" s="32">
        <v>3519.7041974050048</v>
      </c>
      <c r="B21" s="32">
        <v>-1066.3093430672079</v>
      </c>
      <c r="C21" s="33">
        <v>1</v>
      </c>
      <c r="D21" s="34">
        <v>221.52586949430398</v>
      </c>
      <c r="E21" s="34">
        <v>4080269849.0444479</v>
      </c>
      <c r="G21" s="32"/>
      <c r="H21" s="32"/>
      <c r="I21" s="33"/>
      <c r="J21" s="34"/>
      <c r="K21" s="34"/>
    </row>
    <row r="22" spans="1:11" x14ac:dyDescent="0.35">
      <c r="A22" s="32">
        <v>3842.1513687598599</v>
      </c>
      <c r="B22" s="32">
        <v>-1105.2020218924292</v>
      </c>
      <c r="C22" s="33">
        <v>1</v>
      </c>
      <c r="D22" s="34">
        <v>241.66458490286797</v>
      </c>
      <c r="E22" s="34">
        <v>4362822116.6030855</v>
      </c>
      <c r="G22" s="32"/>
      <c r="H22" s="32"/>
      <c r="I22" s="33"/>
      <c r="J22" s="34"/>
      <c r="K22" s="34"/>
    </row>
    <row r="23" spans="1:11" x14ac:dyDescent="0.35">
      <c r="A23" s="32">
        <v>4164.5985401147145</v>
      </c>
      <c r="B23" s="32">
        <v>-1138.3640353380788</v>
      </c>
      <c r="C23" s="33">
        <v>1</v>
      </c>
      <c r="D23" s="34">
        <v>261.803300311432</v>
      </c>
      <c r="E23" s="34">
        <v>4692607108.7136583</v>
      </c>
      <c r="G23" s="32"/>
      <c r="H23" s="32"/>
      <c r="I23" s="33"/>
      <c r="J23" s="34"/>
      <c r="K23" s="34"/>
    </row>
    <row r="24" spans="1:11" x14ac:dyDescent="0.35">
      <c r="A24" s="32">
        <v>4487.0457114695691</v>
      </c>
      <c r="B24" s="32">
        <v>-1165.7953834041562</v>
      </c>
      <c r="C24" s="33">
        <v>1</v>
      </c>
      <c r="D24" s="34">
        <v>281.94201571999599</v>
      </c>
      <c r="E24" s="34">
        <v>5074065116.3566246</v>
      </c>
      <c r="G24" s="32"/>
      <c r="H24" s="32"/>
      <c r="I24" s="33"/>
      <c r="J24" s="34"/>
      <c r="K24" s="34"/>
    </row>
    <row r="25" spans="1:11" x14ac:dyDescent="0.35">
      <c r="A25" s="32">
        <v>4809.4928828244247</v>
      </c>
      <c r="B25" s="32">
        <v>-1187.4960660906615</v>
      </c>
      <c r="C25" s="33">
        <v>1</v>
      </c>
      <c r="D25" s="34">
        <v>302.08073112855999</v>
      </c>
      <c r="E25" s="34">
        <v>5511546864.7255516</v>
      </c>
      <c r="G25" s="32"/>
      <c r="H25" s="32"/>
      <c r="I25" s="33"/>
      <c r="J25" s="34"/>
      <c r="K25" s="34"/>
    </row>
    <row r="26" spans="1:11" x14ac:dyDescent="0.35">
      <c r="A26" s="32">
        <v>5131.9400541792802</v>
      </c>
      <c r="B26" s="32">
        <v>-1203.4660833975952</v>
      </c>
      <c r="C26" s="33">
        <v>1</v>
      </c>
      <c r="D26" s="34">
        <v>322.21944653712399</v>
      </c>
      <c r="E26" s="34">
        <v>6009339979.8681288</v>
      </c>
      <c r="G26" s="32"/>
      <c r="H26" s="32"/>
      <c r="I26" s="33"/>
      <c r="J26" s="34"/>
      <c r="K26" s="34"/>
    </row>
    <row r="27" spans="1:11" x14ac:dyDescent="0.35">
      <c r="A27" s="32">
        <v>5454.3872255341339</v>
      </c>
      <c r="B27" s="32">
        <v>-1213.7054353249566</v>
      </c>
      <c r="C27" s="33">
        <v>1</v>
      </c>
      <c r="D27" s="34">
        <v>342.35816194568798</v>
      </c>
      <c r="E27" s="34">
        <v>6571686593.978405</v>
      </c>
      <c r="G27" s="32"/>
      <c r="H27" s="32"/>
      <c r="I27" s="33"/>
      <c r="J27" s="34"/>
      <c r="K27" s="34"/>
    </row>
    <row r="28" spans="1:11" x14ac:dyDescent="0.35">
      <c r="A28" s="32">
        <v>5776.8343968889894</v>
      </c>
      <c r="B28" s="32">
        <v>-1218.2141218727463</v>
      </c>
      <c r="C28" s="33">
        <v>1</v>
      </c>
      <c r="D28" s="34">
        <v>362.49687735425198</v>
      </c>
      <c r="E28" s="34">
        <v>7202795367.7644329</v>
      </c>
      <c r="G28" s="32"/>
      <c r="H28" s="32"/>
      <c r="I28" s="33"/>
      <c r="J28" s="34"/>
      <c r="K28" s="34"/>
    </row>
    <row r="29" spans="1:11" x14ac:dyDescent="0.35">
      <c r="A29" s="32">
        <v>6099.281568243845</v>
      </c>
      <c r="B29" s="32">
        <v>-1216.9921430409638</v>
      </c>
      <c r="C29" s="33">
        <v>1</v>
      </c>
      <c r="D29" s="34">
        <v>382.63559276281597</v>
      </c>
      <c r="E29" s="34">
        <v>7906849891.712656</v>
      </c>
      <c r="G29" s="32"/>
      <c r="H29" s="32"/>
      <c r="I29" s="33"/>
      <c r="J29" s="34"/>
      <c r="K29" s="34"/>
    </row>
    <row r="30" spans="1:11" x14ac:dyDescent="0.35">
      <c r="A30" s="32">
        <v>6482.7503098645329</v>
      </c>
      <c r="B30" s="32">
        <v>-1194.7841062631505</v>
      </c>
      <c r="C30" s="33">
        <v>1</v>
      </c>
      <c r="D30" s="34">
        <v>402.77430817137997</v>
      </c>
      <c r="E30" s="34">
        <v>8688014677.8699932</v>
      </c>
      <c r="G30" s="32"/>
      <c r="H30" s="32"/>
      <c r="I30" s="33"/>
      <c r="J30" s="34"/>
      <c r="K30" s="34"/>
    </row>
    <row r="31" spans="1:11" x14ac:dyDescent="0.35">
      <c r="A31" s="32">
        <v>6876.5774064448069</v>
      </c>
      <c r="B31" s="32">
        <v>-1164.255815365869</v>
      </c>
      <c r="C31" s="33">
        <v>1</v>
      </c>
      <c r="D31" s="34">
        <v>422.91302357994397</v>
      </c>
      <c r="E31" s="34">
        <v>9550439511.5774155</v>
      </c>
      <c r="G31" s="32"/>
      <c r="H31" s="32"/>
      <c r="I31" s="33"/>
      <c r="J31" s="34"/>
      <c r="K31" s="34"/>
    </row>
    <row r="32" spans="1:11" x14ac:dyDescent="0.35">
      <c r="A32" s="32">
        <v>7263.9154189136816</v>
      </c>
      <c r="B32" s="32">
        <v>-1129.6191301168658</v>
      </c>
      <c r="C32" s="33">
        <v>1</v>
      </c>
      <c r="D32" s="34">
        <v>443.05173898850796</v>
      </c>
      <c r="E32" s="34">
        <v>10498262664.031321</v>
      </c>
      <c r="G32" s="32"/>
      <c r="H32" s="32"/>
      <c r="I32" s="33"/>
      <c r="J32" s="34"/>
      <c r="K32" s="34"/>
    </row>
    <row r="33" spans="1:11" x14ac:dyDescent="0.35">
      <c r="A33" s="32">
        <v>7645.6107495465549</v>
      </c>
      <c r="B33" s="32">
        <v>-1090.6624499472905</v>
      </c>
      <c r="C33" s="33">
        <v>1</v>
      </c>
      <c r="D33" s="34">
        <v>463.19045439707196</v>
      </c>
      <c r="E33" s="34">
        <v>11535613299.035517</v>
      </c>
      <c r="G33" s="32"/>
      <c r="H33" s="32"/>
      <c r="I33" s="33"/>
      <c r="J33" s="34"/>
      <c r="K33" s="34"/>
    </row>
    <row r="34" spans="1:11" x14ac:dyDescent="0.35">
      <c r="A34" s="32">
        <v>8022.3687335729292</v>
      </c>
      <c r="B34" s="32">
        <v>-1047.2094410497684</v>
      </c>
      <c r="C34" s="33">
        <v>1</v>
      </c>
      <c r="D34" s="34">
        <v>483.32916980563596</v>
      </c>
      <c r="E34" s="34">
        <v>12666613300.290144</v>
      </c>
      <c r="G34" s="32"/>
      <c r="H34" s="32"/>
      <c r="I34" s="33"/>
      <c r="J34" s="34"/>
      <c r="K34" s="34"/>
    </row>
    <row r="35" spans="1:11" x14ac:dyDescent="0.35">
      <c r="A35" s="32">
        <v>8394.7818525855819</v>
      </c>
      <c r="B35" s="32">
        <v>-999.11198302610467</v>
      </c>
      <c r="C35" s="33">
        <v>1</v>
      </c>
      <c r="D35" s="34">
        <v>503.46788521419995</v>
      </c>
      <c r="E35" s="34">
        <v>13895378675.705292</v>
      </c>
      <c r="G35" s="32"/>
      <c r="H35" s="32"/>
      <c r="I35" s="33"/>
      <c r="J35" s="34"/>
      <c r="K35" s="34"/>
    </row>
    <row r="36" spans="1:11" x14ac:dyDescent="0.35">
      <c r="A36" s="32">
        <v>8763.351437163019</v>
      </c>
      <c r="B36" s="32">
        <v>-946.24474323167249</v>
      </c>
      <c r="C36" s="33">
        <v>1</v>
      </c>
      <c r="D36" s="34">
        <v>523.60660062276395</v>
      </c>
      <c r="E36" s="34">
        <v>15226020648.7234</v>
      </c>
      <c r="G36" s="32"/>
      <c r="H36" s="32"/>
      <c r="I36" s="33"/>
      <c r="J36" s="34"/>
      <c r="K36" s="34"/>
    </row>
    <row r="37" spans="1:11" x14ac:dyDescent="0.35">
      <c r="A37" s="32">
        <v>9128.5045466869324</v>
      </c>
      <c r="B37" s="32">
        <v>-888.50095682104916</v>
      </c>
      <c r="C37" s="33">
        <v>1</v>
      </c>
      <c r="D37" s="34">
        <v>543.745316031328</v>
      </c>
      <c r="E37" s="34">
        <v>16662646515.121035</v>
      </c>
      <c r="G37" s="32"/>
      <c r="H37" s="32"/>
      <c r="I37" s="33"/>
      <c r="J37" s="34"/>
      <c r="K37" s="34"/>
    </row>
    <row r="38" spans="1:11" x14ac:dyDescent="0.35">
      <c r="A38" s="32">
        <v>9490.607232055916</v>
      </c>
      <c r="B38" s="32">
        <v>-825.78911106958685</v>
      </c>
      <c r="C38" s="33">
        <v>1</v>
      </c>
      <c r="D38" s="34">
        <v>563.88403143989206</v>
      </c>
      <c r="E38" s="34">
        <v>18209360322.054054</v>
      </c>
      <c r="G38" s="32"/>
      <c r="H38" s="32"/>
      <c r="I38" s="33"/>
      <c r="J38" s="34"/>
      <c r="K38" s="34"/>
    </row>
    <row r="39" spans="1:11" x14ac:dyDescent="0.35">
      <c r="A39" s="32">
        <v>9849.9750543894424</v>
      </c>
      <c r="B39" s="32">
        <v>-758.03031569741654</v>
      </c>
      <c r="C39" s="33">
        <v>1</v>
      </c>
      <c r="D39" s="34">
        <v>584.02274684845611</v>
      </c>
      <c r="E39" s="34">
        <v>19390686242.857586</v>
      </c>
      <c r="G39" s="32"/>
      <c r="H39" s="32"/>
      <c r="I39" s="33"/>
      <c r="J39" s="34"/>
      <c r="K39" s="34"/>
    </row>
    <row r="40" spans="1:11" x14ac:dyDescent="0.35">
      <c r="A40" s="32">
        <v>10206.8815</v>
      </c>
      <c r="B40" s="32">
        <v>-685.15619912902719</v>
      </c>
      <c r="C40" s="33">
        <v>1</v>
      </c>
      <c r="D40" s="34">
        <v>604.16146225692</v>
      </c>
      <c r="E40" s="34">
        <v>21169352288.46067</v>
      </c>
      <c r="G40" s="32"/>
      <c r="H40" s="32"/>
      <c r="I40" s="33"/>
      <c r="J40" s="34"/>
      <c r="K40" s="34"/>
    </row>
    <row r="41" spans="1:11" x14ac:dyDescent="0.35">
      <c r="A41" s="32">
        <v>10206.8815</v>
      </c>
      <c r="B41" s="32">
        <v>0</v>
      </c>
      <c r="C41" s="33">
        <v>1</v>
      </c>
      <c r="D41" s="34"/>
      <c r="E41" s="34"/>
      <c r="G41" s="32"/>
      <c r="H41" s="32"/>
      <c r="I41" s="33"/>
      <c r="J41" s="34"/>
      <c r="K41" s="34"/>
    </row>
    <row r="42" spans="1:11" x14ac:dyDescent="0.35">
      <c r="A42" s="32"/>
      <c r="B42" s="32"/>
      <c r="C42" s="33"/>
      <c r="D42" s="34"/>
      <c r="E42" s="34"/>
      <c r="G42" s="32"/>
      <c r="H42" s="32"/>
      <c r="I42" s="33"/>
      <c r="J42" s="34"/>
      <c r="K42" s="34"/>
    </row>
    <row r="43" spans="1:11" x14ac:dyDescent="0.35">
      <c r="A43" s="32">
        <v>-1200</v>
      </c>
      <c r="B43" s="32">
        <v>12.750000000589651</v>
      </c>
      <c r="C43" s="33">
        <v>1</v>
      </c>
      <c r="D43" s="34">
        <v>1E-10</v>
      </c>
      <c r="E43" s="34">
        <v>1380728985.2663517</v>
      </c>
      <c r="G43" s="32"/>
      <c r="H43" s="32"/>
      <c r="I43" s="33"/>
      <c r="J43" s="34"/>
      <c r="K43" s="34"/>
    </row>
    <row r="44" spans="1:11" x14ac:dyDescent="0.35">
      <c r="A44" s="32">
        <v>-696.24495701563728</v>
      </c>
      <c r="B44" s="32">
        <v>115.08176510115747</v>
      </c>
      <c r="C44" s="33">
        <v>1</v>
      </c>
      <c r="D44" s="34">
        <v>20.220399656023577</v>
      </c>
      <c r="E44" s="34">
        <v>2527805812.9166355</v>
      </c>
      <c r="G44" s="32"/>
      <c r="H44" s="32"/>
      <c r="I44" s="33"/>
      <c r="J44" s="34"/>
      <c r="K44" s="34"/>
    </row>
    <row r="45" spans="1:11" x14ac:dyDescent="0.35">
      <c r="A45" s="32">
        <v>-372.48991403287584</v>
      </c>
      <c r="B45" s="32">
        <v>211.636282464331</v>
      </c>
      <c r="C45" s="33">
        <v>1</v>
      </c>
      <c r="D45" s="34">
        <v>40.44079931194716</v>
      </c>
      <c r="E45" s="34">
        <v>2912450151.4926553</v>
      </c>
      <c r="G45" s="32"/>
      <c r="H45" s="32"/>
      <c r="I45" s="33"/>
      <c r="J45" s="34"/>
      <c r="K45" s="34"/>
    </row>
    <row r="46" spans="1:11" x14ac:dyDescent="0.35">
      <c r="A46" s="32">
        <v>213.0712036746861</v>
      </c>
      <c r="B46" s="32">
        <v>367.86507077124088</v>
      </c>
      <c r="C46" s="33">
        <v>1</v>
      </c>
      <c r="D46" s="34">
        <v>60.661198967870739</v>
      </c>
      <c r="E46" s="34">
        <v>3115021313.0385933</v>
      </c>
      <c r="G46" s="32"/>
      <c r="H46" s="32"/>
      <c r="I46" s="33"/>
      <c r="J46" s="34"/>
      <c r="K46" s="34"/>
    </row>
    <row r="47" spans="1:11" x14ac:dyDescent="0.35">
      <c r="A47" s="32">
        <v>861.3747279758461</v>
      </c>
      <c r="B47" s="32">
        <v>534.00221298908684</v>
      </c>
      <c r="C47" s="33">
        <v>1</v>
      </c>
      <c r="D47" s="34">
        <v>80.881598623794318</v>
      </c>
      <c r="E47" s="34">
        <v>3253966837.0787759</v>
      </c>
      <c r="G47" s="32"/>
      <c r="H47" s="32"/>
      <c r="I47" s="33"/>
      <c r="J47" s="34"/>
      <c r="K47" s="34"/>
    </row>
    <row r="48" spans="1:11" x14ac:dyDescent="0.35">
      <c r="A48" s="32">
        <v>1352.6441722497752</v>
      </c>
      <c r="B48" s="32">
        <v>655.10358746266138</v>
      </c>
      <c r="C48" s="33">
        <v>1</v>
      </c>
      <c r="D48" s="34">
        <v>101.10199827971789</v>
      </c>
      <c r="E48" s="34">
        <v>3371175576.5460625</v>
      </c>
      <c r="G48" s="32"/>
      <c r="H48" s="32"/>
      <c r="I48" s="33"/>
      <c r="J48" s="34"/>
      <c r="K48" s="34"/>
    </row>
    <row r="49" spans="1:11" x14ac:dyDescent="0.35">
      <c r="A49" s="32">
        <v>1806.2186077600354</v>
      </c>
      <c r="B49" s="32">
        <v>761.00396200785485</v>
      </c>
      <c r="C49" s="33">
        <v>1</v>
      </c>
      <c r="D49" s="34">
        <v>121.32239793564148</v>
      </c>
      <c r="E49" s="34">
        <v>3487313610.2764978</v>
      </c>
      <c r="G49" s="32"/>
      <c r="H49" s="32"/>
      <c r="I49" s="33"/>
      <c r="J49" s="34"/>
      <c r="K49" s="34"/>
    </row>
    <row r="50" spans="1:11" x14ac:dyDescent="0.35">
      <c r="A50" s="32">
        <v>2222.701788262465</v>
      </c>
      <c r="B50" s="32">
        <v>851.85427506362748</v>
      </c>
      <c r="C50" s="33">
        <v>1</v>
      </c>
      <c r="D50" s="34">
        <v>141.54279759156506</v>
      </c>
      <c r="E50" s="34">
        <v>3614752535.3622031</v>
      </c>
      <c r="G50" s="32"/>
      <c r="H50" s="32"/>
      <c r="I50" s="33"/>
      <c r="J50" s="34"/>
      <c r="K50" s="34"/>
    </row>
    <row r="51" spans="1:11" x14ac:dyDescent="0.35">
      <c r="A51" s="32">
        <v>2562.8256563636937</v>
      </c>
      <c r="B51" s="32">
        <v>917.83751228163578</v>
      </c>
      <c r="C51" s="33">
        <v>1</v>
      </c>
      <c r="D51" s="34">
        <v>161.76319724748865</v>
      </c>
      <c r="E51" s="34">
        <v>3762168494.4276242</v>
      </c>
      <c r="G51" s="32"/>
      <c r="H51" s="32"/>
      <c r="I51" s="33"/>
      <c r="J51" s="34"/>
      <c r="K51" s="34"/>
    </row>
    <row r="52" spans="1:11" x14ac:dyDescent="0.35">
      <c r="A52" s="32">
        <v>2886.5806993464548</v>
      </c>
      <c r="B52" s="32">
        <v>973.95129548256386</v>
      </c>
      <c r="C52" s="33">
        <v>1</v>
      </c>
      <c r="D52" s="34">
        <v>181.98359690341223</v>
      </c>
      <c r="E52" s="34">
        <v>3936405407.4598856</v>
      </c>
      <c r="G52" s="32"/>
      <c r="H52" s="32"/>
      <c r="I52" s="33"/>
      <c r="J52" s="34"/>
      <c r="K52" s="34"/>
    </row>
    <row r="53" spans="1:11" x14ac:dyDescent="0.35">
      <c r="A53" s="32">
        <v>3210.3357423292173</v>
      </c>
      <c r="B53" s="32">
        <v>1024.2878309460284</v>
      </c>
      <c r="C53" s="33">
        <v>1</v>
      </c>
      <c r="D53" s="34">
        <v>202.20399655933582</v>
      </c>
      <c r="E53" s="34">
        <v>4143314148.5346479</v>
      </c>
      <c r="G53" s="32"/>
      <c r="H53" s="32"/>
      <c r="I53" s="33"/>
      <c r="J53" s="34"/>
      <c r="K53" s="34"/>
    </row>
    <row r="54" spans="1:11" x14ac:dyDescent="0.35">
      <c r="A54" s="32">
        <v>3534.0907853119784</v>
      </c>
      <c r="B54" s="32">
        <v>1068.8471186720292</v>
      </c>
      <c r="C54" s="33">
        <v>1</v>
      </c>
      <c r="D54" s="34">
        <v>222.42439621525941</v>
      </c>
      <c r="E54" s="34">
        <v>4388169204.244978</v>
      </c>
      <c r="G54" s="32"/>
      <c r="H54" s="32"/>
      <c r="I54" s="33"/>
      <c r="J54" s="34"/>
      <c r="K54" s="34"/>
    </row>
    <row r="55" spans="1:11" x14ac:dyDescent="0.35">
      <c r="A55" s="32">
        <v>3857.8458282947404</v>
      </c>
      <c r="B55" s="32">
        <v>1107.6291586605664</v>
      </c>
      <c r="C55" s="33">
        <v>1</v>
      </c>
      <c r="D55" s="34">
        <v>242.64479587118299</v>
      </c>
      <c r="E55" s="34">
        <v>4675891789.3658886</v>
      </c>
      <c r="G55" s="32"/>
      <c r="H55" s="32"/>
      <c r="I55" s="33"/>
      <c r="J55" s="34"/>
      <c r="K55" s="34"/>
    </row>
    <row r="56" spans="1:11" x14ac:dyDescent="0.35">
      <c r="A56" s="32">
        <v>4181.6008712775019</v>
      </c>
      <c r="B56" s="32">
        <v>1140.6339509116401</v>
      </c>
      <c r="C56" s="33">
        <v>1</v>
      </c>
      <c r="D56" s="34">
        <v>262.86519552710655</v>
      </c>
      <c r="E56" s="34">
        <v>5011176769.7675476</v>
      </c>
      <c r="G56" s="32"/>
      <c r="H56" s="32"/>
      <c r="I56" s="33"/>
      <c r="J56" s="34"/>
      <c r="K56" s="34"/>
    </row>
    <row r="57" spans="1:11" x14ac:dyDescent="0.35">
      <c r="A57" s="32">
        <v>4505.3559142602626</v>
      </c>
      <c r="B57" s="32">
        <v>1167.8614954252498</v>
      </c>
      <c r="C57" s="33">
        <v>1</v>
      </c>
      <c r="D57" s="34">
        <v>283.08559518303014</v>
      </c>
      <c r="E57" s="34">
        <v>5398568532.9468517</v>
      </c>
      <c r="G57" s="32"/>
      <c r="H57" s="32"/>
      <c r="I57" s="33"/>
      <c r="J57" s="34"/>
      <c r="K57" s="34"/>
    </row>
    <row r="58" spans="1:11" x14ac:dyDescent="0.35">
      <c r="A58" s="32">
        <v>4829.1109572430241</v>
      </c>
      <c r="B58" s="32">
        <v>1189.3117922013964</v>
      </c>
      <c r="C58" s="33">
        <v>1</v>
      </c>
      <c r="D58" s="34">
        <v>303.30599483895372</v>
      </c>
      <c r="E58" s="34">
        <v>5842508258.3645878</v>
      </c>
      <c r="G58" s="32"/>
      <c r="H58" s="32"/>
      <c r="I58" s="33"/>
      <c r="J58" s="34"/>
      <c r="K58" s="34"/>
    </row>
    <row r="59" spans="1:11" x14ac:dyDescent="0.35">
      <c r="A59" s="32">
        <v>5152.8660002257875</v>
      </c>
      <c r="B59" s="32">
        <v>1204.984841240079</v>
      </c>
      <c r="C59" s="33">
        <v>1</v>
      </c>
      <c r="D59" s="34">
        <v>323.52639449487731</v>
      </c>
      <c r="E59" s="34">
        <v>6347364422.0675278</v>
      </c>
      <c r="G59" s="32"/>
      <c r="H59" s="32"/>
      <c r="I59" s="33"/>
      <c r="J59" s="34"/>
      <c r="K59" s="34"/>
    </row>
    <row r="60" spans="1:11" x14ac:dyDescent="0.35">
      <c r="A60" s="32">
        <v>5476.6210432085481</v>
      </c>
      <c r="B60" s="32">
        <v>1214.8806425412979</v>
      </c>
      <c r="C60" s="33">
        <v>1</v>
      </c>
      <c r="D60" s="34">
        <v>343.74679415080089</v>
      </c>
      <c r="E60" s="34">
        <v>6917453085.8775272</v>
      </c>
      <c r="G60" s="32"/>
      <c r="H60" s="32"/>
      <c r="I60" s="33"/>
      <c r="J60" s="34"/>
      <c r="K60" s="34"/>
    </row>
    <row r="61" spans="1:11" x14ac:dyDescent="0.35">
      <c r="A61" s="32">
        <v>5800.3760861913097</v>
      </c>
      <c r="B61" s="32">
        <v>1218.9991961050534</v>
      </c>
      <c r="C61" s="33">
        <v>1</v>
      </c>
      <c r="D61" s="34">
        <v>363.96719380672448</v>
      </c>
      <c r="E61" s="34">
        <v>7557051751.2838821</v>
      </c>
      <c r="G61" s="32"/>
      <c r="H61" s="32"/>
      <c r="I61" s="33"/>
      <c r="J61" s="34"/>
      <c r="K61" s="34"/>
    </row>
    <row r="62" spans="1:11" x14ac:dyDescent="0.35">
      <c r="A62" s="32">
        <v>6124.1311291740703</v>
      </c>
      <c r="B62" s="32">
        <v>1217.3405019313452</v>
      </c>
      <c r="C62" s="33">
        <v>1</v>
      </c>
      <c r="D62" s="34">
        <v>384.18759346264807</v>
      </c>
      <c r="E62" s="34">
        <v>8270409039.8032837</v>
      </c>
      <c r="G62" s="32"/>
      <c r="H62" s="32"/>
      <c r="I62" s="33"/>
      <c r="J62" s="34"/>
      <c r="K62" s="34"/>
    </row>
    <row r="63" spans="1:11" x14ac:dyDescent="0.35">
      <c r="A63" s="32">
        <v>6450.0534618244119</v>
      </c>
      <c r="B63" s="32">
        <v>1209.3085553615897</v>
      </c>
      <c r="C63" s="33">
        <v>1</v>
      </c>
      <c r="D63" s="34">
        <v>404.40799311857165</v>
      </c>
      <c r="E63" s="34">
        <v>9061751596.5193691</v>
      </c>
      <c r="G63" s="32"/>
      <c r="H63" s="32"/>
      <c r="I63" s="33"/>
      <c r="J63" s="34"/>
      <c r="K63" s="34"/>
    </row>
    <row r="64" spans="1:11" x14ac:dyDescent="0.35">
      <c r="A64" s="32">
        <v>6847.9910148229847</v>
      </c>
      <c r="B64" s="32">
        <v>1175.6951754586059</v>
      </c>
      <c r="C64" s="33">
        <v>1</v>
      </c>
      <c r="D64" s="34">
        <v>424.62839277449524</v>
      </c>
      <c r="E64" s="34">
        <v>9935289103.6901932</v>
      </c>
      <c r="G64" s="32"/>
      <c r="H64" s="32"/>
      <c r="I64" s="33"/>
      <c r="J64" s="34"/>
      <c r="K64" s="34"/>
    </row>
    <row r="65" spans="1:11" x14ac:dyDescent="0.35">
      <c r="A65" s="32">
        <v>7239.1847032746673</v>
      </c>
      <c r="B65" s="32">
        <v>1138.1591105685534</v>
      </c>
      <c r="C65" s="33">
        <v>1</v>
      </c>
      <c r="D65" s="34">
        <v>444.84879243041883</v>
      </c>
      <c r="E65" s="34">
        <v>10895217981.70903</v>
      </c>
      <c r="G65" s="32"/>
      <c r="H65" s="32"/>
      <c r="I65" s="33"/>
      <c r="J65" s="34"/>
      <c r="K65" s="34"/>
    </row>
    <row r="66" spans="1:11" x14ac:dyDescent="0.35">
      <c r="A66" s="32">
        <v>7624.5141616855763</v>
      </c>
      <c r="B66" s="32">
        <v>1096.4584612022502</v>
      </c>
      <c r="C66" s="33">
        <v>1</v>
      </c>
      <c r="D66" s="34">
        <v>465.06919208634241</v>
      </c>
      <c r="E66" s="34">
        <v>11945724161.605736</v>
      </c>
      <c r="G66" s="32"/>
      <c r="H66" s="32"/>
      <c r="I66" s="33"/>
      <c r="J66" s="34"/>
      <c r="K66" s="34"/>
    </row>
    <row r="67" spans="1:11" x14ac:dyDescent="0.35">
      <c r="A67" s="32">
        <v>8004.7124188108073</v>
      </c>
      <c r="B67" s="32">
        <v>1050.3916444520448</v>
      </c>
      <c r="C67" s="33">
        <v>1</v>
      </c>
      <c r="D67" s="34">
        <v>485.289591742266</v>
      </c>
      <c r="E67" s="34">
        <v>13090985189.925615</v>
      </c>
      <c r="G67" s="32"/>
      <c r="H67" s="32"/>
      <c r="I67" s="33"/>
      <c r="J67" s="34"/>
      <c r="K67" s="34"/>
    </row>
    <row r="68" spans="1:11" x14ac:dyDescent="0.35">
      <c r="A68" s="32">
        <v>8380.3952188046424</v>
      </c>
      <c r="B68" s="32">
        <v>999.78933067550986</v>
      </c>
      <c r="C68" s="33">
        <v>1</v>
      </c>
      <c r="D68" s="34">
        <v>505.50999139818958</v>
      </c>
      <c r="E68" s="34">
        <v>14335171846.307365</v>
      </c>
      <c r="G68" s="32"/>
      <c r="H68" s="32"/>
      <c r="I68" s="33"/>
      <c r="J68" s="34"/>
      <c r="K68" s="34"/>
    </row>
    <row r="69" spans="1:11" x14ac:dyDescent="0.35">
      <c r="A69" s="32">
        <v>8752.0835759514703</v>
      </c>
      <c r="B69" s="32">
        <v>944.5082409444376</v>
      </c>
      <c r="C69" s="33">
        <v>1</v>
      </c>
      <c r="D69" s="34">
        <v>525.73039105411317</v>
      </c>
      <c r="E69" s="34">
        <v>15682449400.488028</v>
      </c>
      <c r="G69" s="32"/>
      <c r="H69" s="32"/>
      <c r="I69" s="33"/>
      <c r="J69" s="34"/>
      <c r="K69" s="34"/>
    </row>
    <row r="70" spans="1:11" x14ac:dyDescent="0.35">
      <c r="A70" s="32">
        <v>9120.2213172342927</v>
      </c>
      <c r="B70" s="32">
        <v>884.42632283850321</v>
      </c>
      <c r="C70" s="33">
        <v>1</v>
      </c>
      <c r="D70" s="34">
        <v>545.9507907100367</v>
      </c>
      <c r="E70" s="34">
        <v>17136978599.146767</v>
      </c>
      <c r="G70" s="32"/>
      <c r="H70" s="32"/>
      <c r="I70" s="33"/>
      <c r="J70" s="34"/>
      <c r="K70" s="34"/>
    </row>
    <row r="71" spans="1:11" x14ac:dyDescent="0.35">
      <c r="A71" s="32">
        <v>9485.1888657814015</v>
      </c>
      <c r="B71" s="32">
        <v>819.43895999742745</v>
      </c>
      <c r="C71" s="33">
        <v>1</v>
      </c>
      <c r="D71" s="34">
        <v>566.17119036596023</v>
      </c>
      <c r="E71" s="34">
        <v>18702916447.986599</v>
      </c>
      <c r="G71" s="32"/>
      <c r="H71" s="32"/>
      <c r="I71" s="33"/>
      <c r="J71" s="34"/>
      <c r="K71" s="34"/>
    </row>
    <row r="72" spans="1:11" x14ac:dyDescent="0.35">
      <c r="A72" s="32">
        <v>9847.3141725654514</v>
      </c>
      <c r="B72" s="32">
        <v>749.45596590372918</v>
      </c>
      <c r="C72" s="33">
        <v>1</v>
      </c>
      <c r="D72" s="34">
        <v>586.39159002188376</v>
      </c>
      <c r="E72" s="34">
        <v>20384416836.964649</v>
      </c>
      <c r="G72" s="32"/>
      <c r="H72" s="32"/>
      <c r="I72" s="33"/>
      <c r="J72" s="34"/>
      <c r="K72" s="34"/>
    </row>
    <row r="73" spans="1:11" x14ac:dyDescent="0.35">
      <c r="A73" s="32">
        <v>10206.8815</v>
      </c>
      <c r="B73" s="32">
        <v>674.39917890930792</v>
      </c>
      <c r="C73" s="33">
        <v>1</v>
      </c>
      <c r="D73" s="34">
        <v>606.61198967770736</v>
      </c>
      <c r="E73" s="34">
        <v>21663357142.26239</v>
      </c>
      <c r="G73" s="32"/>
      <c r="H73" s="32"/>
      <c r="I73" s="33"/>
      <c r="J73" s="34"/>
      <c r="K73" s="34"/>
    </row>
    <row r="74" spans="1:11" x14ac:dyDescent="0.35">
      <c r="A74" s="32">
        <v>10206.8815</v>
      </c>
      <c r="B74" s="32">
        <v>0</v>
      </c>
      <c r="C74" s="33">
        <v>1</v>
      </c>
      <c r="D74" s="34"/>
      <c r="E74" s="34"/>
      <c r="G74" s="32"/>
      <c r="H74" s="32"/>
      <c r="I74" s="33"/>
      <c r="J74" s="34"/>
      <c r="K74" s="34"/>
    </row>
    <row r="75" spans="1:11" x14ac:dyDescent="0.35">
      <c r="A75" s="32"/>
      <c r="B75" s="32"/>
      <c r="C75" s="33"/>
      <c r="D75" s="34"/>
      <c r="E75" s="34"/>
      <c r="G75" s="32"/>
      <c r="H75" s="32"/>
      <c r="I75" s="33"/>
      <c r="J75" s="34"/>
      <c r="K75" s="34"/>
    </row>
    <row r="76" spans="1:11" x14ac:dyDescent="0.35">
      <c r="A76" s="32"/>
      <c r="B76" s="32"/>
      <c r="C76" s="33"/>
      <c r="D76" s="34"/>
      <c r="E76" s="34"/>
      <c r="G76" s="32"/>
      <c r="H76" s="32"/>
      <c r="I76" s="33"/>
      <c r="J76" s="34"/>
      <c r="K76" s="34"/>
    </row>
  </sheetData>
  <mergeCells count="3">
    <mergeCell ref="A1:C2"/>
    <mergeCell ref="E1:H2"/>
    <mergeCell ref="E3:H4"/>
  </mergeCells>
  <hyperlinks>
    <hyperlink ref="B3" r:id="rId1" display="WeldGroup" xr:uid="{75CF78F3-7E19-456F-9D81-A3DBE90DAD4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9C10-4711-4F5F-8EFA-6333FD4C1564}">
  <dimension ref="A1:K76"/>
  <sheetViews>
    <sheetView workbookViewId="0">
      <selection activeCell="C23" sqref="C23"/>
    </sheetView>
  </sheetViews>
  <sheetFormatPr defaultRowHeight="14.5" x14ac:dyDescent="0.35"/>
  <cols>
    <col min="1" max="2" width="7.7265625" customWidth="1"/>
    <col min="3" max="3" width="6.453125" customWidth="1"/>
    <col min="4" max="4" width="8.1796875" customWidth="1"/>
    <col min="5" max="9" width="7.7265625" customWidth="1"/>
    <col min="10" max="10" width="9.26953125" customWidth="1"/>
    <col min="11" max="11" width="7.7265625" customWidth="1"/>
    <col min="12" max="12" width="7" customWidth="1"/>
  </cols>
  <sheetData>
    <row r="1" spans="1:11" ht="15" customHeight="1" x14ac:dyDescent="0.35">
      <c r="A1" s="39" t="str">
        <f>IF([4]Input!A1="","",[4]Input!A1)</f>
        <v/>
      </c>
      <c r="B1" s="49"/>
      <c r="C1" s="50"/>
      <c r="D1" s="1" t="s">
        <v>0</v>
      </c>
      <c r="E1" s="40" t="str">
        <f>IF([4]Input!E1="","",[4]Input!E1)</f>
        <v>OLN PTUS</v>
      </c>
      <c r="F1" s="49"/>
      <c r="G1" s="49"/>
      <c r="H1" s="49"/>
      <c r="I1" s="1" t="s">
        <v>1</v>
      </c>
      <c r="J1" s="2" t="str">
        <f>IF([4]Input!K1="","",[4]Input!K1)</f>
        <v/>
      </c>
      <c r="K1" s="3"/>
    </row>
    <row r="2" spans="1:11" x14ac:dyDescent="0.35">
      <c r="A2" s="51"/>
      <c r="B2" s="52"/>
      <c r="C2" s="53"/>
      <c r="D2" s="4"/>
      <c r="E2" s="52"/>
      <c r="F2" s="52"/>
      <c r="G2" s="52"/>
      <c r="H2" s="52"/>
      <c r="I2" s="5" t="s">
        <v>2</v>
      </c>
      <c r="J2" s="6">
        <f ca="1">NOW()</f>
        <v>46155.750915972225</v>
      </c>
      <c r="K2" s="7"/>
    </row>
    <row r="3" spans="1:11" ht="15" customHeight="1" x14ac:dyDescent="0.35">
      <c r="A3" s="8"/>
      <c r="B3" s="9" t="s">
        <v>3</v>
      </c>
      <c r="C3" s="10"/>
      <c r="D3" s="11" t="s">
        <v>4</v>
      </c>
      <c r="E3" s="45" t="str">
        <f>IF([4]Input!E3="","",[4]Input!E3)</f>
        <v>Bain Adit- Final Lining</v>
      </c>
      <c r="F3" s="54"/>
      <c r="G3" s="54"/>
      <c r="H3" s="54"/>
      <c r="I3" s="11" t="s">
        <v>5</v>
      </c>
      <c r="J3" s="12" t="str">
        <f>IF([4]Input!K3="","",[4]Input!K3)</f>
        <v/>
      </c>
      <c r="K3" s="13"/>
    </row>
    <row r="4" spans="1:11" ht="15" thickBot="1" x14ac:dyDescent="0.4">
      <c r="A4" s="14"/>
      <c r="B4" s="15">
        <f>[4]Input!B4</f>
        <v>2021.04</v>
      </c>
      <c r="C4" s="16"/>
      <c r="D4" s="17"/>
      <c r="E4" s="55"/>
      <c r="F4" s="55"/>
      <c r="G4" s="55"/>
      <c r="H4" s="55"/>
      <c r="I4" s="18" t="s">
        <v>2</v>
      </c>
      <c r="J4" s="19">
        <f>IF([4]Input!K4="","",[4]Input!K4)</f>
        <v>46154.432869444441</v>
      </c>
      <c r="K4" s="20"/>
    </row>
    <row r="6" spans="1:11" ht="19" x14ac:dyDescent="0.5">
      <c r="A6" s="21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3"/>
    </row>
    <row r="8" spans="1:11" ht="54.5" x14ac:dyDescent="0.4">
      <c r="A8" s="24" t="s">
        <v>7</v>
      </c>
      <c r="B8" s="25" t="s">
        <v>8</v>
      </c>
      <c r="C8" s="26" t="s">
        <v>9</v>
      </c>
      <c r="D8" s="27" t="s">
        <v>10</v>
      </c>
      <c r="E8" s="27" t="s">
        <v>11</v>
      </c>
      <c r="G8" s="24" t="s">
        <v>7</v>
      </c>
      <c r="H8" s="25" t="s">
        <v>12</v>
      </c>
      <c r="I8" s="26" t="s">
        <v>9</v>
      </c>
      <c r="J8" s="27" t="s">
        <v>13</v>
      </c>
      <c r="K8" s="27" t="s">
        <v>11</v>
      </c>
    </row>
    <row r="9" spans="1:11" x14ac:dyDescent="0.35">
      <c r="A9" s="28" t="str">
        <f>UnitForce</f>
        <v>kN</v>
      </c>
      <c r="B9" s="29" t="str">
        <f>UnitMoment</f>
        <v>kN-M</v>
      </c>
      <c r="C9" s="30"/>
      <c r="D9" s="29" t="str">
        <f>UnitLength</f>
        <v>mm</v>
      </c>
      <c r="E9" s="31" t="str">
        <f>UnitLength&amp;"^4"</f>
        <v>mm^4</v>
      </c>
      <c r="G9" s="28" t="str">
        <f>UnitForce</f>
        <v>kN</v>
      </c>
      <c r="H9" s="29" t="str">
        <f>UnitMoment</f>
        <v>kN-M</v>
      </c>
      <c r="I9" s="30"/>
      <c r="J9" s="29" t="str">
        <f>UnitLength</f>
        <v>mm</v>
      </c>
      <c r="K9" s="31" t="str">
        <f>UnitLength&amp;"^4"</f>
        <v>mm^4</v>
      </c>
    </row>
    <row r="10" spans="1:11" x14ac:dyDescent="0.35">
      <c r="A10" s="32">
        <f>[4]InteractionDiagram!A10</f>
        <v>-2000</v>
      </c>
      <c r="B10" s="32">
        <f>[4]InteractionDiagram!B10</f>
        <v>21.249999999410349</v>
      </c>
      <c r="C10" s="32">
        <f>[4]InteractionDiagram!C10</f>
        <v>1</v>
      </c>
      <c r="D10" s="38">
        <f>[4]InteractionDiagram!D10</f>
        <v>1E-10</v>
      </c>
      <c r="E10" s="38">
        <f>[4]InteractionDiagram!E10</f>
        <v>2301214975.4334736</v>
      </c>
      <c r="G10" s="32"/>
      <c r="H10" s="32"/>
      <c r="I10" s="33"/>
      <c r="J10" s="34"/>
      <c r="K10" s="34"/>
    </row>
    <row r="11" spans="1:11" x14ac:dyDescent="0.35">
      <c r="A11" s="32">
        <v>-1373.012772805092</v>
      </c>
      <c r="B11" s="32">
        <v>-82.074260344118883</v>
      </c>
      <c r="C11" s="33">
        <v>1</v>
      </c>
      <c r="D11" s="34">
        <v>20.422268500742302</v>
      </c>
      <c r="E11" s="34">
        <v>3539492368.6569633</v>
      </c>
      <c r="G11" s="32"/>
      <c r="H11" s="32"/>
      <c r="I11" s="33"/>
      <c r="J11" s="34"/>
      <c r="K11" s="34"/>
    </row>
    <row r="12" spans="1:11" x14ac:dyDescent="0.35">
      <c r="A12" s="32">
        <v>-588.29490214859175</v>
      </c>
      <c r="B12" s="32">
        <v>-305.38127065170102</v>
      </c>
      <c r="C12" s="33">
        <v>1</v>
      </c>
      <c r="D12" s="34">
        <v>40.844537001384609</v>
      </c>
      <c r="E12" s="34">
        <v>4101165172.4262066</v>
      </c>
      <c r="G12" s="32"/>
      <c r="H12" s="32"/>
      <c r="I12" s="33"/>
      <c r="J12" s="34"/>
      <c r="K12" s="34"/>
    </row>
    <row r="13" spans="1:11" x14ac:dyDescent="0.35">
      <c r="A13" s="32">
        <v>407.42429805581799</v>
      </c>
      <c r="B13" s="32">
        <v>-580.82046959656373</v>
      </c>
      <c r="C13" s="33">
        <v>1</v>
      </c>
      <c r="D13" s="34">
        <v>61.266805502026912</v>
      </c>
      <c r="E13" s="34">
        <v>4421832297.9627333</v>
      </c>
      <c r="G13" s="32"/>
      <c r="H13" s="32"/>
      <c r="I13" s="33"/>
      <c r="J13" s="34"/>
      <c r="K13" s="34"/>
    </row>
    <row r="14" spans="1:11" x14ac:dyDescent="0.35">
      <c r="A14" s="32">
        <v>1091.4564180051138</v>
      </c>
      <c r="B14" s="32">
        <v>-764.65254448287533</v>
      </c>
      <c r="C14" s="33">
        <v>1</v>
      </c>
      <c r="D14" s="34">
        <v>81.689074002669216</v>
      </c>
      <c r="E14" s="34">
        <v>4657358537.7462416</v>
      </c>
      <c r="G14" s="32"/>
      <c r="H14" s="32"/>
      <c r="I14" s="33"/>
      <c r="J14" s="34"/>
      <c r="K14" s="34"/>
    </row>
    <row r="15" spans="1:11" x14ac:dyDescent="0.35">
      <c r="A15" s="32">
        <v>1589.5783234681351</v>
      </c>
      <c r="B15" s="32">
        <v>-891.46613339706687</v>
      </c>
      <c r="C15" s="33">
        <v>1</v>
      </c>
      <c r="D15" s="34">
        <v>102.11134250331152</v>
      </c>
      <c r="E15" s="34">
        <v>4845658135.6718569</v>
      </c>
      <c r="G15" s="32"/>
      <c r="H15" s="32"/>
      <c r="I15" s="33"/>
      <c r="J15" s="34"/>
      <c r="K15" s="34"/>
    </row>
    <row r="16" spans="1:11" x14ac:dyDescent="0.35">
      <c r="A16" s="32">
        <v>1916.5655506614421</v>
      </c>
      <c r="B16" s="32">
        <v>-965.32450879869225</v>
      </c>
      <c r="C16" s="33">
        <v>1</v>
      </c>
      <c r="D16" s="34">
        <v>122.53361100395382</v>
      </c>
      <c r="E16" s="34">
        <v>5016650446.4977102</v>
      </c>
      <c r="G16" s="32"/>
      <c r="H16" s="32"/>
      <c r="I16" s="33"/>
      <c r="J16" s="34"/>
      <c r="K16" s="34"/>
    </row>
    <row r="17" spans="1:11" x14ac:dyDescent="0.35">
      <c r="A17" s="32">
        <v>2243.5527778547485</v>
      </c>
      <c r="B17" s="32">
        <v>-1033.2897072119231</v>
      </c>
      <c r="C17" s="33">
        <v>1</v>
      </c>
      <c r="D17" s="34">
        <v>142.95587950459611</v>
      </c>
      <c r="E17" s="34">
        <v>5188197507.100894</v>
      </c>
      <c r="G17" s="32"/>
      <c r="H17" s="32"/>
      <c r="I17" s="33"/>
      <c r="J17" s="34"/>
      <c r="K17" s="34"/>
    </row>
    <row r="18" spans="1:11" x14ac:dyDescent="0.35">
      <c r="A18" s="32">
        <v>2570.5400050480553</v>
      </c>
      <c r="B18" s="32">
        <v>-1095.3617286367592</v>
      </c>
      <c r="C18" s="33">
        <v>1</v>
      </c>
      <c r="D18" s="34">
        <v>163.37814800523842</v>
      </c>
      <c r="E18" s="34">
        <v>5372441405.1848278</v>
      </c>
      <c r="G18" s="32"/>
      <c r="H18" s="32"/>
      <c r="I18" s="33"/>
      <c r="J18" s="34"/>
      <c r="K18" s="34"/>
    </row>
    <row r="19" spans="1:11" x14ac:dyDescent="0.35">
      <c r="A19" s="32">
        <v>2897.5272322413621</v>
      </c>
      <c r="B19" s="32">
        <v>-1151.5405730732007</v>
      </c>
      <c r="C19" s="33">
        <v>1</v>
      </c>
      <c r="D19" s="34">
        <v>183.80041650588072</v>
      </c>
      <c r="E19" s="34">
        <v>5578524729.0940018</v>
      </c>
      <c r="G19" s="32"/>
      <c r="H19" s="32"/>
      <c r="I19" s="33"/>
      <c r="J19" s="34"/>
      <c r="K19" s="34"/>
    </row>
    <row r="20" spans="1:11" x14ac:dyDescent="0.35">
      <c r="A20" s="32">
        <v>3224.5144594346689</v>
      </c>
      <c r="B20" s="32">
        <v>-1201.8262405212477</v>
      </c>
      <c r="C20" s="33">
        <v>1</v>
      </c>
      <c r="D20" s="34">
        <v>204.22268500652302</v>
      </c>
      <c r="E20" s="34">
        <v>5813893239.6679268</v>
      </c>
      <c r="G20" s="32"/>
      <c r="H20" s="32"/>
      <c r="I20" s="33"/>
      <c r="J20" s="34"/>
      <c r="K20" s="34"/>
    </row>
    <row r="21" spans="1:11" x14ac:dyDescent="0.35">
      <c r="A21" s="32">
        <v>3551.5016866279752</v>
      </c>
      <c r="B21" s="32">
        <v>-1246.2187309808996</v>
      </c>
      <c r="C21" s="33">
        <v>1</v>
      </c>
      <c r="D21" s="34">
        <v>224.64495350716533</v>
      </c>
      <c r="E21" s="34">
        <v>6084973902.9288301</v>
      </c>
      <c r="G21" s="32"/>
      <c r="H21" s="32"/>
      <c r="I21" s="33"/>
      <c r="J21" s="34"/>
      <c r="K21" s="34"/>
    </row>
    <row r="22" spans="1:11" x14ac:dyDescent="0.35">
      <c r="A22" s="32">
        <v>3878.488913821282</v>
      </c>
      <c r="B22" s="32">
        <v>-1284.7180444521575</v>
      </c>
      <c r="C22" s="33">
        <v>1</v>
      </c>
      <c r="D22" s="34">
        <v>245.06722200780763</v>
      </c>
      <c r="E22" s="34">
        <v>6397551862.0065098</v>
      </c>
      <c r="G22" s="32"/>
      <c r="H22" s="32"/>
      <c r="I22" s="33"/>
      <c r="J22" s="34"/>
      <c r="K22" s="34"/>
    </row>
    <row r="23" spans="1:11" x14ac:dyDescent="0.35">
      <c r="A23" s="32">
        <v>4205.4761410145884</v>
      </c>
      <c r="B23" s="32">
        <v>-1317.3241809350206</v>
      </c>
      <c r="C23" s="33">
        <v>1</v>
      </c>
      <c r="D23" s="34">
        <v>265.48949050844993</v>
      </c>
      <c r="E23" s="34">
        <v>6756991559.0527868</v>
      </c>
      <c r="G23" s="32"/>
      <c r="H23" s="32"/>
      <c r="I23" s="33"/>
      <c r="J23" s="34"/>
      <c r="K23" s="34"/>
    </row>
    <row r="24" spans="1:11" x14ac:dyDescent="0.35">
      <c r="A24" s="32">
        <v>4532.4633682078957</v>
      </c>
      <c r="B24" s="32">
        <v>-1344.037140429489</v>
      </c>
      <c r="C24" s="33">
        <v>1</v>
      </c>
      <c r="D24" s="34">
        <v>285.91175900909224</v>
      </c>
      <c r="E24" s="34">
        <v>7168372332.6106749</v>
      </c>
      <c r="G24" s="32"/>
      <c r="H24" s="32"/>
      <c r="I24" s="33"/>
      <c r="J24" s="34"/>
      <c r="K24" s="34"/>
    </row>
    <row r="25" spans="1:11" x14ac:dyDescent="0.35">
      <c r="A25" s="32">
        <v>4859.450595401202</v>
      </c>
      <c r="B25" s="32">
        <v>-1364.8569229355626</v>
      </c>
      <c r="C25" s="33">
        <v>1</v>
      </c>
      <c r="D25" s="34">
        <v>306.33402750973454</v>
      </c>
      <c r="E25" s="34">
        <v>7636574745.2913313</v>
      </c>
      <c r="G25" s="32"/>
      <c r="H25" s="32"/>
      <c r="I25" s="33"/>
      <c r="J25" s="34"/>
      <c r="K25" s="34"/>
    </row>
    <row r="26" spans="1:11" x14ac:dyDescent="0.35">
      <c r="A26" s="32">
        <v>5186.4378225945093</v>
      </c>
      <c r="B26" s="32">
        <v>-1379.7835284532421</v>
      </c>
      <c r="C26" s="33">
        <v>1</v>
      </c>
      <c r="D26" s="34">
        <v>326.75629601037684</v>
      </c>
      <c r="E26" s="34">
        <v>8166337335.1482038</v>
      </c>
      <c r="G26" s="32"/>
      <c r="H26" s="32"/>
      <c r="I26" s="33"/>
      <c r="J26" s="34"/>
      <c r="K26" s="34"/>
    </row>
    <row r="27" spans="1:11" x14ac:dyDescent="0.35">
      <c r="A27" s="32">
        <v>5513.4250497878165</v>
      </c>
      <c r="B27" s="32">
        <v>-1388.8169569825266</v>
      </c>
      <c r="C27" s="33">
        <v>1</v>
      </c>
      <c r="D27" s="34">
        <v>347.17856451101915</v>
      </c>
      <c r="E27" s="34">
        <v>8762294973.9995728</v>
      </c>
      <c r="G27" s="32"/>
      <c r="H27" s="32"/>
      <c r="I27" s="33"/>
      <c r="J27" s="34"/>
      <c r="K27" s="34"/>
    </row>
    <row r="28" spans="1:11" x14ac:dyDescent="0.35">
      <c r="A28" s="32">
        <v>5840.412276981122</v>
      </c>
      <c r="B28" s="32">
        <v>-1391.9572085234163</v>
      </c>
      <c r="C28" s="33">
        <v>1</v>
      </c>
      <c r="D28" s="34">
        <v>367.60083301166145</v>
      </c>
      <c r="E28" s="34">
        <v>9429005430.9772243</v>
      </c>
      <c r="G28" s="32"/>
      <c r="H28" s="32"/>
      <c r="I28" s="33"/>
      <c r="J28" s="34"/>
      <c r="K28" s="34"/>
    </row>
    <row r="29" spans="1:11" x14ac:dyDescent="0.35">
      <c r="A29" s="32">
        <v>6174.1260725715629</v>
      </c>
      <c r="B29" s="32">
        <v>-1387.522640976629</v>
      </c>
      <c r="C29" s="33">
        <v>1</v>
      </c>
      <c r="D29" s="34">
        <v>388.02310151230375</v>
      </c>
      <c r="E29" s="34">
        <v>10170968166.257385</v>
      </c>
      <c r="G29" s="32"/>
      <c r="H29" s="32"/>
      <c r="I29" s="33"/>
      <c r="J29" s="34"/>
      <c r="K29" s="34"/>
    </row>
    <row r="30" spans="1:11" x14ac:dyDescent="0.35">
      <c r="A30" s="32">
        <v>6630.7769713449798</v>
      </c>
      <c r="B30" s="32">
        <v>-1346.4606206457015</v>
      </c>
      <c r="C30" s="33">
        <v>1</v>
      </c>
      <c r="D30" s="34">
        <v>408.44537001294606</v>
      </c>
      <c r="E30" s="34">
        <v>10992637883.168093</v>
      </c>
      <c r="G30" s="32"/>
      <c r="H30" s="32"/>
      <c r="I30" s="33"/>
      <c r="J30" s="34"/>
      <c r="K30" s="34"/>
    </row>
    <row r="31" spans="1:11" x14ac:dyDescent="0.35">
      <c r="A31" s="32">
        <v>7075.078949015533</v>
      </c>
      <c r="B31" s="32">
        <v>-1302.5926536020959</v>
      </c>
      <c r="C31" s="33">
        <v>1</v>
      </c>
      <c r="D31" s="34">
        <v>428.86763851358836</v>
      </c>
      <c r="E31" s="34">
        <v>11898434468.467945</v>
      </c>
      <c r="G31" s="32"/>
      <c r="H31" s="32"/>
      <c r="I31" s="33"/>
      <c r="J31" s="34"/>
      <c r="K31" s="34"/>
    </row>
    <row r="32" spans="1:11" x14ac:dyDescent="0.35">
      <c r="A32" s="32">
        <v>7508.7159493699764</v>
      </c>
      <c r="B32" s="32">
        <v>-1255.4977538991234</v>
      </c>
      <c r="C32" s="33">
        <v>1</v>
      </c>
      <c r="D32" s="34">
        <v>449.28990701423066</v>
      </c>
      <c r="E32" s="34">
        <v>12892750396.070835</v>
      </c>
      <c r="G32" s="32"/>
      <c r="H32" s="32"/>
      <c r="I32" s="33"/>
      <c r="J32" s="34"/>
      <c r="K32" s="34"/>
    </row>
    <row r="33" spans="1:11" x14ac:dyDescent="0.35">
      <c r="A33" s="32">
        <v>7933.0790564060608</v>
      </c>
      <c r="B33" s="32">
        <v>-1204.8281505373457</v>
      </c>
      <c r="C33" s="33">
        <v>1</v>
      </c>
      <c r="D33" s="34">
        <v>469.71217551487297</v>
      </c>
      <c r="E33" s="34">
        <v>13979956318.565926</v>
      </c>
      <c r="G33" s="32"/>
      <c r="H33" s="32"/>
      <c r="I33" s="33"/>
      <c r="J33" s="34"/>
      <c r="K33" s="34"/>
    </row>
    <row r="34" spans="1:11" x14ac:dyDescent="0.35">
      <c r="A34" s="32">
        <v>8349.3275067885825</v>
      </c>
      <c r="B34" s="32">
        <v>-1150.2940343505643</v>
      </c>
      <c r="C34" s="33">
        <v>1</v>
      </c>
      <c r="D34" s="34">
        <v>490.13444401551527</v>
      </c>
      <c r="E34" s="34">
        <v>15164405343.749725</v>
      </c>
      <c r="G34" s="32"/>
      <c r="H34" s="32"/>
      <c r="I34" s="33"/>
      <c r="J34" s="34"/>
      <c r="K34" s="34"/>
    </row>
    <row r="35" spans="1:11" x14ac:dyDescent="0.35">
      <c r="A35" s="32">
        <v>8758.4350593159688</v>
      </c>
      <c r="B35" s="32">
        <v>-1091.651965639172</v>
      </c>
      <c r="C35" s="33">
        <v>1</v>
      </c>
      <c r="D35" s="34">
        <v>510.55671251615757</v>
      </c>
      <c r="E35" s="34">
        <v>16450436343.35692</v>
      </c>
      <c r="G35" s="32"/>
      <c r="H35" s="32"/>
      <c r="I35" s="33"/>
      <c r="J35" s="34"/>
      <c r="K35" s="34"/>
    </row>
    <row r="36" spans="1:11" x14ac:dyDescent="0.35">
      <c r="A36" s="32">
        <v>9161.2256637407354</v>
      </c>
      <c r="B36" s="32">
        <v>-1028.6959569650401</v>
      </c>
      <c r="C36" s="33">
        <v>1</v>
      </c>
      <c r="D36" s="34">
        <v>530.97898101679993</v>
      </c>
      <c r="E36" s="34">
        <v>17842376540.224075</v>
      </c>
      <c r="G36" s="32"/>
      <c r="H36" s="32"/>
      <c r="I36" s="33"/>
      <c r="J36" s="34"/>
      <c r="K36" s="34"/>
    </row>
    <row r="37" spans="1:11" x14ac:dyDescent="0.35">
      <c r="A37" s="32">
        <v>9558.4012031853945</v>
      </c>
      <c r="B37" s="32">
        <v>-961.25053754754038</v>
      </c>
      <c r="C37" s="33">
        <v>1</v>
      </c>
      <c r="D37" s="34">
        <v>551.40124951744224</v>
      </c>
      <c r="E37" s="34">
        <v>19344543551.033249</v>
      </c>
      <c r="G37" s="32"/>
      <c r="H37" s="32"/>
      <c r="I37" s="33"/>
      <c r="J37" s="34"/>
      <c r="K37" s="34"/>
    </row>
    <row r="38" spans="1:11" x14ac:dyDescent="0.35">
      <c r="A38" s="32">
        <v>9950.5632917549592</v>
      </c>
      <c r="B38" s="32">
        <v>-889.16530386041973</v>
      </c>
      <c r="C38" s="33">
        <v>1</v>
      </c>
      <c r="D38" s="34">
        <v>571.82351801808454</v>
      </c>
      <c r="E38" s="34">
        <v>20961247013.763546</v>
      </c>
      <c r="G38" s="32"/>
      <c r="H38" s="32"/>
      <c r="I38" s="33"/>
      <c r="J38" s="34"/>
      <c r="K38" s="34"/>
    </row>
    <row r="39" spans="1:11" x14ac:dyDescent="0.35">
      <c r="A39" s="32">
        <v>10338.230562298571</v>
      </c>
      <c r="B39" s="32">
        <v>-812.31059769139188</v>
      </c>
      <c r="C39" s="33">
        <v>1</v>
      </c>
      <c r="D39" s="34">
        <v>592.24578651872685</v>
      </c>
      <c r="E39" s="34">
        <v>21913977223.556786</v>
      </c>
      <c r="G39" s="32"/>
      <c r="H39" s="32"/>
      <c r="I39" s="33"/>
      <c r="J39" s="34"/>
      <c r="K39" s="34"/>
    </row>
    <row r="40" spans="1:11" x14ac:dyDescent="0.35">
      <c r="A40" s="32">
        <v>10721.852500000001</v>
      </c>
      <c r="B40" s="32">
        <v>-730.57404859022006</v>
      </c>
      <c r="C40" s="33">
        <v>1</v>
      </c>
      <c r="D40" s="34">
        <v>612.6680550192691</v>
      </c>
      <c r="E40" s="34">
        <v>23771284308.208431</v>
      </c>
      <c r="G40" s="32"/>
      <c r="H40" s="32"/>
      <c r="I40" s="33"/>
      <c r="J40" s="34"/>
      <c r="K40" s="34"/>
    </row>
    <row r="41" spans="1:11" x14ac:dyDescent="0.35">
      <c r="A41" s="32">
        <v>10721.852500000001</v>
      </c>
      <c r="B41" s="32">
        <v>0</v>
      </c>
      <c r="C41" s="33">
        <v>1</v>
      </c>
      <c r="D41" s="34"/>
      <c r="E41" s="34"/>
      <c r="G41" s="32"/>
      <c r="H41" s="32"/>
      <c r="I41" s="33"/>
      <c r="J41" s="34"/>
      <c r="K41" s="34"/>
    </row>
    <row r="42" spans="1:11" x14ac:dyDescent="0.35">
      <c r="A42" s="32"/>
      <c r="B42" s="32"/>
      <c r="C42" s="33"/>
      <c r="D42" s="34"/>
      <c r="E42" s="34"/>
      <c r="G42" s="32"/>
      <c r="H42" s="32"/>
      <c r="I42" s="33"/>
      <c r="J42" s="34"/>
      <c r="K42" s="34"/>
    </row>
    <row r="43" spans="1:11" x14ac:dyDescent="0.35">
      <c r="A43" s="32">
        <v>-2000</v>
      </c>
      <c r="B43" s="32">
        <v>21.250000000589651</v>
      </c>
      <c r="C43" s="33">
        <v>1</v>
      </c>
      <c r="D43" s="34">
        <v>1E-10</v>
      </c>
      <c r="E43" s="34">
        <v>2301214975.4353147</v>
      </c>
      <c r="G43" s="32"/>
      <c r="H43" s="32"/>
      <c r="I43" s="33"/>
      <c r="J43" s="34"/>
      <c r="K43" s="34"/>
    </row>
    <row r="44" spans="1:11" x14ac:dyDescent="0.35">
      <c r="A44" s="32">
        <v>-1370.9846301876873</v>
      </c>
      <c r="B44" s="32">
        <v>125.19674082756356</v>
      </c>
      <c r="C44" s="33">
        <v>1</v>
      </c>
      <c r="D44" s="34">
        <v>20.548937892222085</v>
      </c>
      <c r="E44" s="34">
        <v>3750980053.9971771</v>
      </c>
      <c r="G44" s="32"/>
      <c r="H44" s="32"/>
      <c r="I44" s="33"/>
      <c r="J44" s="34"/>
      <c r="K44" s="34"/>
    </row>
    <row r="45" spans="1:11" x14ac:dyDescent="0.35">
      <c r="A45" s="32">
        <v>-1041.9692603769756</v>
      </c>
      <c r="B45" s="32">
        <v>223.17697293178861</v>
      </c>
      <c r="C45" s="33">
        <v>1</v>
      </c>
      <c r="D45" s="34">
        <v>41.097875784344168</v>
      </c>
      <c r="E45" s="34">
        <v>4405658243.7766523</v>
      </c>
      <c r="G45" s="32"/>
      <c r="H45" s="32"/>
      <c r="I45" s="33"/>
      <c r="J45" s="34"/>
      <c r="K45" s="34"/>
    </row>
    <row r="46" spans="1:11" x14ac:dyDescent="0.35">
      <c r="A46" s="32">
        <v>-242.017700560143</v>
      </c>
      <c r="B46" s="32">
        <v>432.92474381472584</v>
      </c>
      <c r="C46" s="33">
        <v>1</v>
      </c>
      <c r="D46" s="34">
        <v>61.646813676466252</v>
      </c>
      <c r="E46" s="34">
        <v>4788110796.5211201</v>
      </c>
      <c r="G46" s="32"/>
      <c r="H46" s="32"/>
      <c r="I46" s="33"/>
      <c r="J46" s="34"/>
      <c r="K46" s="34"/>
    </row>
    <row r="47" spans="1:11" x14ac:dyDescent="0.35">
      <c r="A47" s="32">
        <v>619.26362174839107</v>
      </c>
      <c r="B47" s="32">
        <v>652.03844659777019</v>
      </c>
      <c r="C47" s="33">
        <v>1</v>
      </c>
      <c r="D47" s="34">
        <v>82.195751568588335</v>
      </c>
      <c r="E47" s="34">
        <v>5051190689.0296402</v>
      </c>
      <c r="G47" s="32"/>
      <c r="H47" s="32"/>
      <c r="I47" s="33"/>
      <c r="J47" s="34"/>
      <c r="K47" s="34"/>
    </row>
    <row r="48" spans="1:11" x14ac:dyDescent="0.35">
      <c r="A48" s="32">
        <v>1222.2807505580029</v>
      </c>
      <c r="B48" s="32">
        <v>800.61959228326623</v>
      </c>
      <c r="C48" s="33">
        <v>1</v>
      </c>
      <c r="D48" s="34">
        <v>102.74468946071042</v>
      </c>
      <c r="E48" s="34">
        <v>5262327006.8863897</v>
      </c>
      <c r="G48" s="32"/>
      <c r="H48" s="32"/>
      <c r="I48" s="33"/>
      <c r="J48" s="34"/>
      <c r="K48" s="34"/>
    </row>
    <row r="49" spans="1:11" x14ac:dyDescent="0.35">
      <c r="A49" s="32">
        <v>1764.2025013680679</v>
      </c>
      <c r="B49" s="32">
        <v>927.96038474605712</v>
      </c>
      <c r="C49" s="33">
        <v>1</v>
      </c>
      <c r="D49" s="34">
        <v>123.2936273528325</v>
      </c>
      <c r="E49" s="34">
        <v>5450635911.4356623</v>
      </c>
      <c r="G49" s="32"/>
      <c r="H49" s="32"/>
      <c r="I49" s="33"/>
      <c r="J49" s="34"/>
      <c r="K49" s="34"/>
    </row>
    <row r="50" spans="1:11" x14ac:dyDescent="0.35">
      <c r="A50" s="32">
        <v>2245.2938576069314</v>
      </c>
      <c r="B50" s="32">
        <v>1034.1270698432295</v>
      </c>
      <c r="C50" s="33">
        <v>1</v>
      </c>
      <c r="D50" s="34">
        <v>143.84256524495459</v>
      </c>
      <c r="E50" s="34">
        <v>5636162216.7207174</v>
      </c>
      <c r="G50" s="32"/>
      <c r="H50" s="32"/>
      <c r="I50" s="33"/>
      <c r="J50" s="34"/>
      <c r="K50" s="34"/>
    </row>
    <row r="51" spans="1:11" x14ac:dyDescent="0.35">
      <c r="A51" s="32">
        <v>2586.7651459872936</v>
      </c>
      <c r="B51" s="32">
        <v>1099.4222292529587</v>
      </c>
      <c r="C51" s="33">
        <v>1</v>
      </c>
      <c r="D51" s="34">
        <v>164.39150313707668</v>
      </c>
      <c r="E51" s="34">
        <v>5832340014.8079681</v>
      </c>
      <c r="G51" s="32"/>
      <c r="H51" s="32"/>
      <c r="I51" s="33"/>
      <c r="J51" s="34"/>
      <c r="K51" s="34"/>
    </row>
    <row r="52" spans="1:11" x14ac:dyDescent="0.35">
      <c r="A52" s="32">
        <v>2915.7805157980065</v>
      </c>
      <c r="B52" s="32">
        <v>1155.6369002974573</v>
      </c>
      <c r="C52" s="33">
        <v>1</v>
      </c>
      <c r="D52" s="34">
        <v>184.94044102919878</v>
      </c>
      <c r="E52" s="34">
        <v>6049139575.2423983</v>
      </c>
      <c r="G52" s="32"/>
      <c r="H52" s="32"/>
      <c r="I52" s="33"/>
      <c r="J52" s="34"/>
      <c r="K52" s="34"/>
    </row>
    <row r="53" spans="1:11" x14ac:dyDescent="0.35">
      <c r="A53" s="32">
        <v>3244.7958856087184</v>
      </c>
      <c r="B53" s="32">
        <v>1205.8850626191374</v>
      </c>
      <c r="C53" s="33">
        <v>1</v>
      </c>
      <c r="D53" s="34">
        <v>205.48937892132088</v>
      </c>
      <c r="E53" s="34">
        <v>6294572890.3292341</v>
      </c>
      <c r="G53" s="32"/>
      <c r="H53" s="32"/>
      <c r="I53" s="33"/>
      <c r="J53" s="34"/>
      <c r="K53" s="34"/>
    </row>
    <row r="54" spans="1:11" x14ac:dyDescent="0.35">
      <c r="A54" s="32">
        <v>3573.8112554194299</v>
      </c>
      <c r="B54" s="32">
        <v>1250.1667162179995</v>
      </c>
      <c r="C54" s="33">
        <v>1</v>
      </c>
      <c r="D54" s="34">
        <v>226.03831681344298</v>
      </c>
      <c r="E54" s="34">
        <v>6575476763.7499657</v>
      </c>
      <c r="G54" s="32"/>
      <c r="H54" s="32"/>
      <c r="I54" s="33"/>
      <c r="J54" s="34"/>
      <c r="K54" s="34"/>
    </row>
    <row r="55" spans="1:11" x14ac:dyDescent="0.35">
      <c r="A55" s="32">
        <v>3902.8266252301414</v>
      </c>
      <c r="B55" s="32">
        <v>1288.4818610940436</v>
      </c>
      <c r="C55" s="33">
        <v>1</v>
      </c>
      <c r="D55" s="34">
        <v>246.58725470556507</v>
      </c>
      <c r="E55" s="34">
        <v>6897947951.2426147</v>
      </c>
      <c r="G55" s="32"/>
      <c r="H55" s="32"/>
      <c r="I55" s="33"/>
      <c r="J55" s="34"/>
      <c r="K55" s="34"/>
    </row>
    <row r="56" spans="1:11" x14ac:dyDescent="0.35">
      <c r="A56" s="32">
        <v>4231.8419950408534</v>
      </c>
      <c r="B56" s="32">
        <v>1320.8304972472692</v>
      </c>
      <c r="C56" s="33">
        <v>1</v>
      </c>
      <c r="D56" s="34">
        <v>267.13619259768717</v>
      </c>
      <c r="E56" s="34">
        <v>7267598287.1186848</v>
      </c>
      <c r="G56" s="32"/>
      <c r="H56" s="32"/>
      <c r="I56" s="33"/>
      <c r="J56" s="34"/>
      <c r="K56" s="34"/>
    </row>
    <row r="57" spans="1:11" x14ac:dyDescent="0.35">
      <c r="A57" s="32">
        <v>4560.8573648515649</v>
      </c>
      <c r="B57" s="32">
        <v>1347.212624677677</v>
      </c>
      <c r="C57" s="33">
        <v>1</v>
      </c>
      <c r="D57" s="34">
        <v>287.68513048980924</v>
      </c>
      <c r="E57" s="34">
        <v>7689711074.7302055</v>
      </c>
      <c r="G57" s="32"/>
      <c r="H57" s="32"/>
      <c r="I57" s="33"/>
      <c r="J57" s="34"/>
      <c r="K57" s="34"/>
    </row>
    <row r="58" spans="1:11" x14ac:dyDescent="0.35">
      <c r="A58" s="32">
        <v>4889.8727346622763</v>
      </c>
      <c r="B58" s="32">
        <v>1367.6282433852668</v>
      </c>
      <c r="C58" s="33">
        <v>1</v>
      </c>
      <c r="D58" s="34">
        <v>308.23406838193131</v>
      </c>
      <c r="E58" s="34">
        <v>8169340619.9024658</v>
      </c>
      <c r="G58" s="32"/>
      <c r="H58" s="32"/>
      <c r="I58" s="33"/>
      <c r="J58" s="34"/>
      <c r="K58" s="34"/>
    </row>
    <row r="59" spans="1:11" x14ac:dyDescent="0.35">
      <c r="A59" s="32">
        <v>5218.8881044729878</v>
      </c>
      <c r="B59" s="32">
        <v>1382.0773533700383</v>
      </c>
      <c r="C59" s="33">
        <v>1</v>
      </c>
      <c r="D59" s="34">
        <v>328.78300627405338</v>
      </c>
      <c r="E59" s="34">
        <v>8711377645.5359573</v>
      </c>
      <c r="G59" s="32"/>
      <c r="H59" s="32"/>
      <c r="I59" s="33"/>
      <c r="J59" s="34"/>
      <c r="K59" s="34"/>
    </row>
    <row r="60" spans="1:11" x14ac:dyDescent="0.35">
      <c r="A60" s="32">
        <v>5547.9034742836984</v>
      </c>
      <c r="B60" s="32">
        <v>1390.5599546319918</v>
      </c>
      <c r="C60" s="33">
        <v>1</v>
      </c>
      <c r="D60" s="34">
        <v>349.33194416617545</v>
      </c>
      <c r="E60" s="34">
        <v>9320593494.7299461</v>
      </c>
      <c r="G60" s="32"/>
      <c r="H60" s="32"/>
      <c r="I60" s="33"/>
      <c r="J60" s="34"/>
      <c r="K60" s="34"/>
    </row>
    <row r="61" spans="1:11" x14ac:dyDescent="0.35">
      <c r="A61" s="32">
        <v>5876.9188440944099</v>
      </c>
      <c r="B61" s="32">
        <v>1393.0760471711269</v>
      </c>
      <c r="C61" s="33">
        <v>1</v>
      </c>
      <c r="D61" s="34">
        <v>369.88088205829752</v>
      </c>
      <c r="E61" s="34">
        <v>10001670735.419214</v>
      </c>
      <c r="G61" s="32"/>
      <c r="H61" s="32"/>
      <c r="I61" s="33"/>
      <c r="J61" s="34"/>
      <c r="K61" s="34"/>
    </row>
    <row r="62" spans="1:11" x14ac:dyDescent="0.35">
      <c r="A62" s="32">
        <v>6205.9342139051214</v>
      </c>
      <c r="B62" s="32">
        <v>1389.6256309874443</v>
      </c>
      <c r="C62" s="33">
        <v>1</v>
      </c>
      <c r="D62" s="34">
        <v>390.42981995041958</v>
      </c>
      <c r="E62" s="34">
        <v>10759224809.106277</v>
      </c>
      <c r="G62" s="32"/>
      <c r="H62" s="32"/>
      <c r="I62" s="33"/>
      <c r="J62" s="34"/>
      <c r="K62" s="34"/>
    </row>
    <row r="63" spans="1:11" x14ac:dyDescent="0.35">
      <c r="A63" s="32">
        <v>6580.0730117196545</v>
      </c>
      <c r="B63" s="32">
        <v>1367.7997633798921</v>
      </c>
      <c r="C63" s="33">
        <v>1</v>
      </c>
      <c r="D63" s="34">
        <v>410.97875784254165</v>
      </c>
      <c r="E63" s="34">
        <v>11597819639.083746</v>
      </c>
      <c r="G63" s="32"/>
      <c r="H63" s="32"/>
      <c r="I63" s="33"/>
      <c r="J63" s="34"/>
      <c r="K63" s="34"/>
    </row>
    <row r="64" spans="1:11" x14ac:dyDescent="0.35">
      <c r="A64" s="32">
        <v>7030.7491706730143</v>
      </c>
      <c r="B64" s="32">
        <v>1318.9596127363454</v>
      </c>
      <c r="C64" s="33">
        <v>1</v>
      </c>
      <c r="D64" s="34">
        <v>431.52769573466372</v>
      </c>
      <c r="E64" s="34">
        <v>12521979077.120367</v>
      </c>
      <c r="G64" s="32"/>
      <c r="H64" s="32"/>
      <c r="I64" s="33"/>
      <c r="J64" s="34"/>
      <c r="K64" s="34"/>
    </row>
    <row r="65" spans="1:11" x14ac:dyDescent="0.35">
      <c r="A65" s="32">
        <v>7470.3652578861338</v>
      </c>
      <c r="B65" s="32">
        <v>1267.1944730985458</v>
      </c>
      <c r="C65" s="33">
        <v>1</v>
      </c>
      <c r="D65" s="34">
        <v>452.07663362678579</v>
      </c>
      <c r="E65" s="34">
        <v>13536195428.03006</v>
      </c>
      <c r="G65" s="32"/>
      <c r="H65" s="32"/>
      <c r="I65" s="33"/>
      <c r="J65" s="34"/>
      <c r="K65" s="34"/>
    </row>
    <row r="66" spans="1:11" x14ac:dyDescent="0.35">
      <c r="A66" s="32">
        <v>7900.3638914120893</v>
      </c>
      <c r="B66" s="32">
        <v>1212.1076245018983</v>
      </c>
      <c r="C66" s="33">
        <v>1</v>
      </c>
      <c r="D66" s="34">
        <v>472.62557151890786</v>
      </c>
      <c r="E66" s="34">
        <v>14644935886.89373</v>
      </c>
      <c r="G66" s="32"/>
      <c r="H66" s="32"/>
      <c r="I66" s="33"/>
      <c r="J66" s="34"/>
      <c r="K66" s="34"/>
    </row>
    <row r="67" spans="1:11" x14ac:dyDescent="0.35">
      <c r="A67" s="32">
        <v>8321.9472529617778</v>
      </c>
      <c r="B67" s="32">
        <v>1153.3684669759064</v>
      </c>
      <c r="C67" s="33">
        <v>1</v>
      </c>
      <c r="D67" s="34">
        <v>493.17450941102993</v>
      </c>
      <c r="E67" s="34">
        <v>15852647461.851366</v>
      </c>
      <c r="G67" s="32"/>
      <c r="H67" s="32"/>
      <c r="I67" s="33"/>
      <c r="J67" s="34"/>
      <c r="K67" s="34"/>
    </row>
    <row r="68" spans="1:11" x14ac:dyDescent="0.35">
      <c r="A68" s="32">
        <v>8736.1251751723503</v>
      </c>
      <c r="B68" s="32">
        <v>1090.6992965453537</v>
      </c>
      <c r="C68" s="33">
        <v>1</v>
      </c>
      <c r="D68" s="34">
        <v>513.72344730315206</v>
      </c>
      <c r="E68" s="34">
        <v>17163760782.448902</v>
      </c>
      <c r="G68" s="32"/>
      <c r="H68" s="32"/>
      <c r="I68" s="33"/>
      <c r="J68" s="34"/>
      <c r="K68" s="34"/>
    </row>
    <row r="69" spans="1:11" x14ac:dyDescent="0.35">
      <c r="A69" s="32">
        <v>9143.7521318137024</v>
      </c>
      <c r="B69" s="32">
        <v>1023.8651329235179</v>
      </c>
      <c r="C69" s="33">
        <v>1</v>
      </c>
      <c r="D69" s="34">
        <v>534.27238519527418</v>
      </c>
      <c r="E69" s="34">
        <v>18582693077.180229</v>
      </c>
      <c r="G69" s="32"/>
      <c r="H69" s="32"/>
      <c r="I69" s="33"/>
      <c r="J69" s="34"/>
      <c r="K69" s="34"/>
    </row>
    <row r="70" spans="1:11" x14ac:dyDescent="0.35">
      <c r="A70" s="32">
        <v>9545.5560079490824</v>
      </c>
      <c r="B70" s="32">
        <v>952.66580771800614</v>
      </c>
      <c r="C70" s="33">
        <v>1</v>
      </c>
      <c r="D70" s="34">
        <v>554.82132308739631</v>
      </c>
      <c r="E70" s="34">
        <v>20113850524.256325</v>
      </c>
      <c r="G70" s="32"/>
      <c r="H70" s="32"/>
      <c r="I70" s="33"/>
      <c r="J70" s="34"/>
      <c r="K70" s="34"/>
    </row>
    <row r="71" spans="1:11" x14ac:dyDescent="0.35">
      <c r="A71" s="32">
        <v>9942.1607050612747</v>
      </c>
      <c r="B71" s="32">
        <v>876.92974802105357</v>
      </c>
      <c r="C71" s="33">
        <v>1</v>
      </c>
      <c r="D71" s="34">
        <v>575.37026097951843</v>
      </c>
      <c r="E71" s="34">
        <v>21761630124.309288</v>
      </c>
      <c r="G71" s="32"/>
      <c r="H71" s="32"/>
      <c r="I71" s="33"/>
      <c r="J71" s="34"/>
      <c r="K71" s="34"/>
    </row>
    <row r="72" spans="1:11" x14ac:dyDescent="0.35">
      <c r="A72" s="32">
        <v>10334.104069256122</v>
      </c>
      <c r="B72" s="32">
        <v>796.50904615355205</v>
      </c>
      <c r="C72" s="33">
        <v>1</v>
      </c>
      <c r="D72" s="34">
        <v>595.91919887164056</v>
      </c>
      <c r="E72" s="34">
        <v>23530421204.738491</v>
      </c>
      <c r="G72" s="32"/>
      <c r="H72" s="32"/>
      <c r="I72" s="33"/>
      <c r="J72" s="34"/>
      <c r="K72" s="34"/>
    </row>
    <row r="73" spans="1:11" x14ac:dyDescent="0.35">
      <c r="A73" s="32">
        <v>10721.852500000001</v>
      </c>
      <c r="B73" s="32">
        <v>711.27551546070163</v>
      </c>
      <c r="C73" s="33">
        <v>1</v>
      </c>
      <c r="D73" s="34">
        <v>616.46813676366264</v>
      </c>
      <c r="E73" s="34">
        <v>24571946426.287685</v>
      </c>
      <c r="G73" s="32"/>
      <c r="H73" s="32"/>
      <c r="I73" s="33"/>
      <c r="J73" s="34"/>
      <c r="K73" s="34"/>
    </row>
    <row r="74" spans="1:11" x14ac:dyDescent="0.35">
      <c r="A74" s="32">
        <v>10721.852500000001</v>
      </c>
      <c r="B74" s="32">
        <v>0</v>
      </c>
      <c r="C74" s="33">
        <v>1</v>
      </c>
      <c r="D74" s="34"/>
      <c r="E74" s="34"/>
      <c r="G74" s="32"/>
      <c r="H74" s="32"/>
      <c r="I74" s="33"/>
      <c r="J74" s="34"/>
      <c r="K74" s="34"/>
    </row>
    <row r="75" spans="1:11" x14ac:dyDescent="0.35">
      <c r="A75" s="32"/>
      <c r="B75" s="32"/>
      <c r="C75" s="33"/>
      <c r="D75" s="34"/>
      <c r="E75" s="34"/>
      <c r="G75" s="32"/>
      <c r="H75" s="32"/>
      <c r="I75" s="33"/>
      <c r="J75" s="34"/>
      <c r="K75" s="34"/>
    </row>
    <row r="76" spans="1:11" x14ac:dyDescent="0.35">
      <c r="A76" s="32"/>
      <c r="B76" s="32"/>
      <c r="C76" s="33"/>
      <c r="D76" s="34"/>
      <c r="E76" s="34"/>
      <c r="G76" s="32"/>
      <c r="H76" s="32"/>
      <c r="I76" s="33"/>
      <c r="J76" s="34"/>
      <c r="K76" s="34"/>
    </row>
  </sheetData>
  <mergeCells count="3">
    <mergeCell ref="A1:C2"/>
    <mergeCell ref="E1:H2"/>
    <mergeCell ref="E3:H4"/>
  </mergeCells>
  <hyperlinks>
    <hyperlink ref="B3" r:id="rId1" display="WeldGroup" xr:uid="{668023DD-AFD5-459A-8AEC-380A911AB7B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97176-E275-458B-9DC6-3C9D3E5B0064}">
  <dimension ref="A1:K76"/>
  <sheetViews>
    <sheetView workbookViewId="0">
      <selection activeCell="B10" sqref="A10:B10"/>
    </sheetView>
  </sheetViews>
  <sheetFormatPr defaultRowHeight="14.5" x14ac:dyDescent="0.35"/>
  <cols>
    <col min="1" max="2" width="7.7265625" customWidth="1"/>
    <col min="3" max="3" width="6.453125" customWidth="1"/>
    <col min="4" max="4" width="8.1796875" customWidth="1"/>
    <col min="5" max="5" width="10.453125" customWidth="1"/>
    <col min="6" max="9" width="7.7265625" customWidth="1"/>
    <col min="10" max="10" width="9.26953125" customWidth="1"/>
    <col min="11" max="11" width="7.7265625" customWidth="1"/>
  </cols>
  <sheetData>
    <row r="1" spans="1:11" ht="15" customHeight="1" x14ac:dyDescent="0.35">
      <c r="A1" s="39" t="str">
        <f>IF([5]Input!A1="","",[5]Input!A1)</f>
        <v/>
      </c>
      <c r="B1" s="49"/>
      <c r="C1" s="50"/>
      <c r="D1" s="1" t="s">
        <v>0</v>
      </c>
      <c r="E1" s="40" t="str">
        <f>IF([5]Input!E1="","",[5]Input!E1)</f>
        <v>OLN PTUS</v>
      </c>
      <c r="F1" s="49"/>
      <c r="G1" s="49"/>
      <c r="H1" s="49"/>
      <c r="I1" s="1" t="s">
        <v>1</v>
      </c>
      <c r="J1" s="2" t="str">
        <f>IF([5]Input!K1="","",[5]Input!K1)</f>
        <v/>
      </c>
      <c r="K1" s="3"/>
    </row>
    <row r="2" spans="1:11" x14ac:dyDescent="0.35">
      <c r="A2" s="51"/>
      <c r="B2" s="52"/>
      <c r="C2" s="53"/>
      <c r="D2" s="4"/>
      <c r="E2" s="52"/>
      <c r="F2" s="52"/>
      <c r="G2" s="52"/>
      <c r="H2" s="52"/>
      <c r="I2" s="5" t="s">
        <v>2</v>
      </c>
      <c r="J2" s="6">
        <f ca="1">NOW()</f>
        <v>46155.750915972225</v>
      </c>
      <c r="K2" s="7"/>
    </row>
    <row r="3" spans="1:11" ht="15" customHeight="1" x14ac:dyDescent="0.35">
      <c r="A3" s="8"/>
      <c r="B3" s="9" t="s">
        <v>3</v>
      </c>
      <c r="C3" s="10"/>
      <c r="D3" s="11" t="s">
        <v>4</v>
      </c>
      <c r="E3" s="45" t="str">
        <f>IF([5]Input!E3="","",[5]Input!E3)</f>
        <v>Bain Adit - Final Lining</v>
      </c>
      <c r="F3" s="54"/>
      <c r="G3" s="54"/>
      <c r="H3" s="54"/>
      <c r="I3" s="11" t="s">
        <v>5</v>
      </c>
      <c r="J3" s="12" t="str">
        <f>IF([5]Input!K3="","",[5]Input!K3)</f>
        <v/>
      </c>
      <c r="K3" s="13"/>
    </row>
    <row r="4" spans="1:11" ht="15" thickBot="1" x14ac:dyDescent="0.4">
      <c r="A4" s="14"/>
      <c r="B4" s="15">
        <f>[5]Input!B4</f>
        <v>2021.04</v>
      </c>
      <c r="C4" s="16"/>
      <c r="D4" s="17"/>
      <c r="E4" s="55"/>
      <c r="F4" s="55"/>
      <c r="G4" s="55"/>
      <c r="H4" s="55"/>
      <c r="I4" s="18" t="s">
        <v>2</v>
      </c>
      <c r="J4" s="19">
        <f>IF([5]Input!K4="","",[5]Input!K4)</f>
        <v>46154.431602546298</v>
      </c>
      <c r="K4" s="20"/>
    </row>
    <row r="6" spans="1:11" ht="19" x14ac:dyDescent="0.5">
      <c r="A6" s="21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3"/>
    </row>
    <row r="8" spans="1:11" ht="54.5" x14ac:dyDescent="0.4">
      <c r="A8" s="24" t="s">
        <v>7</v>
      </c>
      <c r="B8" s="25" t="s">
        <v>8</v>
      </c>
      <c r="C8" s="26" t="s">
        <v>9</v>
      </c>
      <c r="D8" s="27" t="s">
        <v>10</v>
      </c>
      <c r="E8" s="27" t="s">
        <v>11</v>
      </c>
      <c r="G8" s="24" t="s">
        <v>7</v>
      </c>
      <c r="H8" s="25" t="s">
        <v>12</v>
      </c>
      <c r="I8" s="26" t="s">
        <v>9</v>
      </c>
      <c r="J8" s="27" t="s">
        <v>13</v>
      </c>
      <c r="K8" s="27" t="s">
        <v>11</v>
      </c>
    </row>
    <row r="9" spans="1:11" x14ac:dyDescent="0.35">
      <c r="A9" s="28" t="str">
        <f>UnitForce</f>
        <v>kN</v>
      </c>
      <c r="B9" s="29" t="str">
        <f>UnitMoment</f>
        <v>kN-M</v>
      </c>
      <c r="C9" s="30"/>
      <c r="D9" s="29" t="str">
        <f>UnitLength</f>
        <v>mm</v>
      </c>
      <c r="E9" s="31" t="str">
        <f>UnitLength&amp;"^4"</f>
        <v>mm^4</v>
      </c>
      <c r="G9" s="28" t="str">
        <f>UnitForce</f>
        <v>kN</v>
      </c>
      <c r="H9" s="29" t="str">
        <f>UnitMoment</f>
        <v>kN-M</v>
      </c>
      <c r="I9" s="30"/>
      <c r="J9" s="29" t="str">
        <f>UnitLength</f>
        <v>mm</v>
      </c>
      <c r="K9" s="31" t="str">
        <f>UnitLength&amp;"^4"</f>
        <v>mm^4</v>
      </c>
    </row>
    <row r="10" spans="1:11" x14ac:dyDescent="0.35">
      <c r="A10" s="32">
        <f>[5]InteractionDiagram!A10</f>
        <v>-800</v>
      </c>
      <c r="B10" s="32">
        <f>[5]InteractionDiagram!B10</f>
        <v>8.4999999992107735</v>
      </c>
      <c r="C10" s="32">
        <f>[5]InteractionDiagram!C10</f>
        <v>1</v>
      </c>
      <c r="D10" s="32">
        <f>[5]InteractionDiagram!D10</f>
        <v>1E-10</v>
      </c>
      <c r="E10" s="38">
        <f>[5]InteractionDiagram!E10</f>
        <v>1853579090.0647757</v>
      </c>
      <c r="G10" s="32"/>
      <c r="H10" s="32"/>
      <c r="I10" s="33"/>
      <c r="J10" s="34"/>
      <c r="K10" s="34"/>
    </row>
    <row r="11" spans="1:11" x14ac:dyDescent="0.35">
      <c r="A11" s="32">
        <f>[5]InteractionDiagram!A11</f>
        <v>-252.80073706332377</v>
      </c>
      <c r="B11" s="32">
        <f>[5]InteractionDiagram!B11</f>
        <v>-172.30224783648094</v>
      </c>
      <c r="C11" s="32">
        <f>[5]InteractionDiagram!C11</f>
        <v>1</v>
      </c>
      <c r="D11" s="32">
        <f>[5]InteractionDiagram!D11</f>
        <v>26.681097380637606</v>
      </c>
      <c r="E11" s="38">
        <f>[5]InteractionDiagram!E11</f>
        <v>3444164698.7814779</v>
      </c>
      <c r="G11" s="32"/>
      <c r="H11" s="32"/>
      <c r="I11" s="33"/>
      <c r="J11" s="34"/>
      <c r="K11" s="34"/>
    </row>
    <row r="12" spans="1:11" x14ac:dyDescent="0.35">
      <c r="A12" s="32">
        <f>[5]InteractionDiagram!A12</f>
        <v>558.5034646464029</v>
      </c>
      <c r="B12" s="32">
        <f>[5]InteractionDiagram!B12</f>
        <v>-490.92603401863516</v>
      </c>
      <c r="C12" s="32">
        <f>[5]InteractionDiagram!C12</f>
        <v>1</v>
      </c>
      <c r="D12" s="32">
        <f>[5]InteractionDiagram!D12</f>
        <v>53.362194761175218</v>
      </c>
      <c r="E12" s="38">
        <f>[5]InteractionDiagram!E12</f>
        <v>3772172707.3146706</v>
      </c>
      <c r="G12" s="32"/>
      <c r="H12" s="32"/>
      <c r="I12" s="33"/>
      <c r="J12" s="34"/>
      <c r="K12" s="34"/>
    </row>
    <row r="13" spans="1:11" x14ac:dyDescent="0.35">
      <c r="A13" s="32">
        <f>[5]InteractionDiagram!A13</f>
        <v>1186.191289656321</v>
      </c>
      <c r="B13" s="32">
        <f>[5]InteractionDiagram!B13</f>
        <v>-728.79865208949218</v>
      </c>
      <c r="C13" s="32">
        <f>[5]InteractionDiagram!C13</f>
        <v>1</v>
      </c>
      <c r="D13" s="32">
        <f>[5]InteractionDiagram!D13</f>
        <v>80.043292141712826</v>
      </c>
      <c r="E13" s="38">
        <f>[5]InteractionDiagram!E13</f>
        <v>3939733071.739377</v>
      </c>
      <c r="G13" s="32"/>
      <c r="H13" s="32"/>
      <c r="I13" s="33"/>
      <c r="J13" s="34"/>
      <c r="K13" s="34"/>
    </row>
    <row r="14" spans="1:11" x14ac:dyDescent="0.35">
      <c r="A14" s="32">
        <f>[5]InteractionDiagram!A14</f>
        <v>1690.6539267419014</v>
      </c>
      <c r="B14" s="32">
        <f>[5]InteractionDiagram!B14</f>
        <v>-909.17070972760803</v>
      </c>
      <c r="C14" s="32">
        <f>[5]InteractionDiagram!C14</f>
        <v>1</v>
      </c>
      <c r="D14" s="32">
        <f>[5]InteractionDiagram!D14</f>
        <v>106.72438952225043</v>
      </c>
      <c r="E14" s="38">
        <f>[5]InteractionDiagram!E14</f>
        <v>4074174886.5664244</v>
      </c>
      <c r="G14" s="32"/>
      <c r="H14" s="32"/>
      <c r="I14" s="33"/>
      <c r="J14" s="34"/>
      <c r="K14" s="34"/>
    </row>
    <row r="15" spans="1:11" x14ac:dyDescent="0.35">
      <c r="A15" s="32">
        <f>[5]InteractionDiagram!A15</f>
        <v>2117.8531896769764</v>
      </c>
      <c r="B15" s="32">
        <f>[5]InteractionDiagram!B15</f>
        <v>-1049.7375052359082</v>
      </c>
      <c r="C15" s="32">
        <f>[5]InteractionDiagram!C15</f>
        <v>1</v>
      </c>
      <c r="D15" s="32">
        <f>[5]InteractionDiagram!D15</f>
        <v>133.40548690278803</v>
      </c>
      <c r="E15" s="38">
        <f>[5]InteractionDiagram!E15</f>
        <v>4218826450.3215303</v>
      </c>
      <c r="G15" s="32"/>
      <c r="H15" s="32"/>
      <c r="I15" s="33"/>
      <c r="J15" s="34"/>
      <c r="K15" s="34"/>
    </row>
    <row r="16" spans="1:11" x14ac:dyDescent="0.35">
      <c r="A16" s="32">
        <f>[5]InteractionDiagram!A16</f>
        <v>2545.0524526120512</v>
      </c>
      <c r="B16" s="32">
        <f>[5]InteractionDiagram!B16</f>
        <v>-1180.2454376623375</v>
      </c>
      <c r="C16" s="32">
        <f>[5]InteractionDiagram!C16</f>
        <v>1</v>
      </c>
      <c r="D16" s="32">
        <f>[5]InteractionDiagram!D16</f>
        <v>160.08658428332564</v>
      </c>
      <c r="E16" s="38">
        <f>[5]InteractionDiagram!E16</f>
        <v>4396078168.9422264</v>
      </c>
      <c r="G16" s="32"/>
      <c r="H16" s="32"/>
      <c r="I16" s="33"/>
      <c r="J16" s="34"/>
      <c r="K16" s="34"/>
    </row>
    <row r="17" spans="1:11" x14ac:dyDescent="0.35">
      <c r="A17" s="32">
        <f>[5]InteractionDiagram!A17</f>
        <v>2972.2517155471269</v>
      </c>
      <c r="B17" s="32">
        <f>[5]InteractionDiagram!B17</f>
        <v>-1300.6945070068957</v>
      </c>
      <c r="C17" s="32">
        <f>[5]InteractionDiagram!C17</f>
        <v>1</v>
      </c>
      <c r="D17" s="32">
        <f>[5]InteractionDiagram!D17</f>
        <v>186.76768166386324</v>
      </c>
      <c r="E17" s="38">
        <f>[5]InteractionDiagram!E17</f>
        <v>4621409989.8178549</v>
      </c>
      <c r="G17" s="32"/>
      <c r="H17" s="32"/>
      <c r="I17" s="33"/>
      <c r="J17" s="34"/>
      <c r="K17" s="34"/>
    </row>
    <row r="18" spans="1:11" x14ac:dyDescent="0.35">
      <c r="A18" s="32">
        <f>[5]InteractionDiagram!A18</f>
        <v>3399.4509784822017</v>
      </c>
      <c r="B18" s="32">
        <f>[5]InteractionDiagram!B18</f>
        <v>-1411.0847132695828</v>
      </c>
      <c r="C18" s="32">
        <f>[5]InteractionDiagram!C18</f>
        <v>1</v>
      </c>
      <c r="D18" s="32">
        <f>[5]InteractionDiagram!D18</f>
        <v>213.44877904440085</v>
      </c>
      <c r="E18" s="38">
        <f>[5]InteractionDiagram!E18</f>
        <v>4907474055.7308369</v>
      </c>
      <c r="G18" s="32"/>
      <c r="H18" s="32"/>
      <c r="I18" s="33"/>
      <c r="J18" s="34"/>
      <c r="K18" s="34"/>
    </row>
    <row r="19" spans="1:11" x14ac:dyDescent="0.35">
      <c r="A19" s="32">
        <f>[5]InteractionDiagram!A19</f>
        <v>3826.6502414172764</v>
      </c>
      <c r="B19" s="32">
        <f>[5]InteractionDiagram!B19</f>
        <v>-1511.4160564503993</v>
      </c>
      <c r="C19" s="32">
        <f>[5]InteractionDiagram!C19</f>
        <v>1</v>
      </c>
      <c r="D19" s="32">
        <f>[5]InteractionDiagram!D19</f>
        <v>240.12987642493846</v>
      </c>
      <c r="E19" s="38">
        <f>[5]InteractionDiagram!E19</f>
        <v>5265588811.697113</v>
      </c>
      <c r="G19" s="32"/>
      <c r="H19" s="32"/>
      <c r="I19" s="33"/>
      <c r="J19" s="34"/>
      <c r="K19" s="34"/>
    </row>
    <row r="20" spans="1:11" x14ac:dyDescent="0.35">
      <c r="A20" s="32">
        <f>[5]InteractionDiagram!A20</f>
        <v>4253.8495043523517</v>
      </c>
      <c r="B20" s="32">
        <f>[5]InteractionDiagram!B20</f>
        <v>-1601.6885365493442</v>
      </c>
      <c r="C20" s="32">
        <f>[5]InteractionDiagram!C20</f>
        <v>1</v>
      </c>
      <c r="D20" s="32">
        <f>[5]InteractionDiagram!D20</f>
        <v>266.81097380547607</v>
      </c>
      <c r="E20" s="38">
        <f>[5]InteractionDiagram!E20</f>
        <v>5706376333.1825333</v>
      </c>
      <c r="G20" s="32"/>
      <c r="H20" s="32"/>
      <c r="I20" s="33"/>
      <c r="J20" s="34"/>
      <c r="K20" s="34"/>
    </row>
    <row r="21" spans="1:11" x14ac:dyDescent="0.35">
      <c r="A21" s="32">
        <f>[5]InteractionDiagram!A21</f>
        <v>4681.0487672874278</v>
      </c>
      <c r="B21" s="32">
        <f>[5]InteractionDiagram!B21</f>
        <v>-1681.9021535664185</v>
      </c>
      <c r="C21" s="32">
        <f>[5]InteractionDiagram!C21</f>
        <v>1</v>
      </c>
      <c r="D21" s="32">
        <f>[5]InteractionDiagram!D21</f>
        <v>293.49207118601367</v>
      </c>
      <c r="E21" s="38">
        <f>[5]InteractionDiagram!E21</f>
        <v>6240066067.6011372</v>
      </c>
      <c r="G21" s="32"/>
      <c r="H21" s="32"/>
      <c r="I21" s="33"/>
      <c r="J21" s="34"/>
      <c r="K21" s="34"/>
    </row>
    <row r="22" spans="1:11" x14ac:dyDescent="0.35">
      <c r="A22" s="32">
        <f>[5]InteractionDiagram!A22</f>
        <v>5108.2480302225022</v>
      </c>
      <c r="B22" s="32">
        <f>[5]InteractionDiagram!B22</f>
        <v>-1752.0569075016213</v>
      </c>
      <c r="C22" s="32">
        <f>[5]InteractionDiagram!C22</f>
        <v>1</v>
      </c>
      <c r="D22" s="32">
        <f>[5]InteractionDiagram!D22</f>
        <v>320.17316856655128</v>
      </c>
      <c r="E22" s="38">
        <f>[5]InteractionDiagram!E22</f>
        <v>6876652349.334465</v>
      </c>
      <c r="G22" s="32"/>
      <c r="H22" s="32"/>
      <c r="I22" s="33"/>
      <c r="J22" s="34"/>
      <c r="K22" s="34"/>
    </row>
    <row r="23" spans="1:11" x14ac:dyDescent="0.35">
      <c r="A23" s="32">
        <f>[5]InteractionDiagram!A23</f>
        <v>5535.4472931575783</v>
      </c>
      <c r="B23" s="32">
        <f>[5]InteractionDiagram!B23</f>
        <v>-1812.1527983549538</v>
      </c>
      <c r="C23" s="32">
        <f>[5]InteractionDiagram!C23</f>
        <v>1</v>
      </c>
      <c r="D23" s="32">
        <f>[5]InteractionDiagram!D23</f>
        <v>346.85426594708889</v>
      </c>
      <c r="E23" s="38">
        <f>[5]InteractionDiagram!E23</f>
        <v>7625981716.6902075</v>
      </c>
      <c r="G23" s="32"/>
      <c r="H23" s="32"/>
      <c r="I23" s="33"/>
      <c r="J23" s="34"/>
      <c r="K23" s="34"/>
    </row>
    <row r="24" spans="1:11" x14ac:dyDescent="0.35">
      <c r="A24" s="32">
        <f>[5]InteractionDiagram!A24</f>
        <v>5962.6465560926526</v>
      </c>
      <c r="B24" s="32">
        <f>[5]InteractionDiagram!B24</f>
        <v>-1862.189826126415</v>
      </c>
      <c r="C24" s="32">
        <f>[5]InteractionDiagram!C24</f>
        <v>1</v>
      </c>
      <c r="D24" s="32">
        <f>[5]InteractionDiagram!D24</f>
        <v>373.5353633276265</v>
      </c>
      <c r="E24" s="38">
        <f>[5]InteractionDiagram!E24</f>
        <v>8497804005.7591009</v>
      </c>
      <c r="G24" s="32"/>
      <c r="H24" s="32"/>
      <c r="I24" s="33"/>
      <c r="J24" s="34"/>
      <c r="K24" s="34"/>
    </row>
    <row r="25" spans="1:11" x14ac:dyDescent="0.35">
      <c r="A25" s="32">
        <f>[5]InteractionDiagram!A25</f>
        <v>6389.8458190277279</v>
      </c>
      <c r="B25" s="32">
        <f>[5]InteractionDiagram!B25</f>
        <v>-1902.1679908160047</v>
      </c>
      <c r="C25" s="32">
        <f>[5]InteractionDiagram!C25</f>
        <v>1</v>
      </c>
      <c r="D25" s="32">
        <f>[5]InteractionDiagram!D25</f>
        <v>400.21646070816411</v>
      </c>
      <c r="E25" s="38">
        <f>[5]InteractionDiagram!E25</f>
        <v>9501803618.9278488</v>
      </c>
      <c r="G25" s="32"/>
      <c r="H25" s="32"/>
      <c r="I25" s="33"/>
      <c r="J25" s="34"/>
      <c r="K25" s="34"/>
    </row>
    <row r="26" spans="1:11" x14ac:dyDescent="0.35">
      <c r="A26" s="32">
        <f>[5]InteractionDiagram!A26</f>
        <v>6817.0450819628031</v>
      </c>
      <c r="B26" s="32">
        <f>[5]InteractionDiagram!B26</f>
        <v>-1932.0872924237233</v>
      </c>
      <c r="C26" s="32">
        <f>[5]InteractionDiagram!C26</f>
        <v>1</v>
      </c>
      <c r="D26" s="32">
        <f>[5]InteractionDiagram!D26</f>
        <v>426.89755808870171</v>
      </c>
      <c r="E26" s="38">
        <f>[5]InteractionDiagram!E26</f>
        <v>10647619397.603607</v>
      </c>
      <c r="G26" s="32"/>
      <c r="H26" s="32"/>
      <c r="I26" s="33"/>
      <c r="J26" s="34"/>
      <c r="K26" s="34"/>
    </row>
    <row r="27" spans="1:11" x14ac:dyDescent="0.35">
      <c r="A27" s="32">
        <f>[5]InteractionDiagram!A27</f>
        <v>7244.2443448978775</v>
      </c>
      <c r="B27" s="32">
        <f>[5]InteractionDiagram!B27</f>
        <v>-1951.9477309495712</v>
      </c>
      <c r="C27" s="32">
        <f>[5]InteractionDiagram!C27</f>
        <v>1</v>
      </c>
      <c r="D27" s="32">
        <f>[5]InteractionDiagram!D27</f>
        <v>453.57865546923932</v>
      </c>
      <c r="E27" s="38">
        <f>[5]InteractionDiagram!E27</f>
        <v>11944857667.072567</v>
      </c>
      <c r="G27" s="32"/>
      <c r="H27" s="32"/>
      <c r="I27" s="33"/>
      <c r="J27" s="34"/>
      <c r="K27" s="34"/>
    </row>
    <row r="28" spans="1:11" x14ac:dyDescent="0.35">
      <c r="A28" s="32">
        <f>[5]InteractionDiagram!A28</f>
        <v>7671.4436078329527</v>
      </c>
      <c r="B28" s="32">
        <f>[5]InteractionDiagram!B28</f>
        <v>-1961.7493063935483</v>
      </c>
      <c r="C28" s="32">
        <f>[5]InteractionDiagram!C28</f>
        <v>1</v>
      </c>
      <c r="D28" s="32">
        <f>[5]InteractionDiagram!D28</f>
        <v>480.25975284977693</v>
      </c>
      <c r="E28" s="38">
        <f>[5]InteractionDiagram!E28</f>
        <v>13403101042.159704</v>
      </c>
      <c r="G28" s="32"/>
      <c r="H28" s="32"/>
      <c r="I28" s="33"/>
      <c r="J28" s="34"/>
      <c r="K28" s="34"/>
    </row>
    <row r="29" spans="1:11" x14ac:dyDescent="0.35">
      <c r="A29" s="32">
        <f>[5]InteractionDiagram!A29</f>
        <v>8098.6428707680279</v>
      </c>
      <c r="B29" s="32">
        <f>[5]InteractionDiagram!B29</f>
        <v>-1961.492018755654</v>
      </c>
      <c r="C29" s="32">
        <f>[5]InteractionDiagram!C29</f>
        <v>1</v>
      </c>
      <c r="D29" s="32">
        <f>[5]InteractionDiagram!D29</f>
        <v>506.94085023031454</v>
      </c>
      <c r="E29" s="38">
        <f>[5]InteractionDiagram!E29</f>
        <v>15031914518.33106</v>
      </c>
      <c r="G29" s="32"/>
      <c r="H29" s="32"/>
      <c r="I29" s="33"/>
      <c r="J29" s="34"/>
      <c r="K29" s="34"/>
    </row>
    <row r="30" spans="1:11" x14ac:dyDescent="0.35">
      <c r="A30" s="32">
        <f>[5]InteractionDiagram!A30</f>
        <v>8525.8421337031032</v>
      </c>
      <c r="B30" s="32">
        <f>[5]InteractionDiagram!B30</f>
        <v>-1951.1758680358889</v>
      </c>
      <c r="C30" s="32">
        <f>[5]InteractionDiagram!C30</f>
        <v>1</v>
      </c>
      <c r="D30" s="32">
        <f>[5]InteractionDiagram!D30</f>
        <v>533.6219476108522</v>
      </c>
      <c r="E30" s="38">
        <f>[5]InteractionDiagram!E30</f>
        <v>16840849776.827839</v>
      </c>
      <c r="G30" s="32"/>
      <c r="H30" s="32"/>
      <c r="I30" s="33"/>
      <c r="J30" s="34"/>
      <c r="K30" s="34"/>
    </row>
    <row r="31" spans="1:11" x14ac:dyDescent="0.35">
      <c r="A31" s="32">
        <f>[5]InteractionDiagram!A31</f>
        <v>8999.8288753523957</v>
      </c>
      <c r="B31" s="32">
        <f>[5]InteractionDiagram!B31</f>
        <v>-1913.9573618971349</v>
      </c>
      <c r="C31" s="32">
        <f>[5]InteractionDiagram!C31</f>
        <v>1</v>
      </c>
      <c r="D31" s="32">
        <f>[5]InteractionDiagram!D31</f>
        <v>560.30304499138981</v>
      </c>
      <c r="E31" s="38">
        <f>[5]InteractionDiagram!E31</f>
        <v>18839448286.307465</v>
      </c>
      <c r="G31" s="32"/>
      <c r="H31" s="32"/>
      <c r="I31" s="33"/>
      <c r="J31" s="34"/>
      <c r="K31" s="34"/>
    </row>
    <row r="32" spans="1:11" x14ac:dyDescent="0.35">
      <c r="A32" s="32">
        <f>[5]InteractionDiagram!A32</f>
        <v>9472.1741619822697</v>
      </c>
      <c r="B32" s="32">
        <f>[5]InteractionDiagram!B32</f>
        <v>-1867.2709164834991</v>
      </c>
      <c r="C32" s="32">
        <f>[5]InteractionDiagram!C32</f>
        <v>1</v>
      </c>
      <c r="D32" s="32">
        <f>[5]InteractionDiagram!D32</f>
        <v>586.98414237192742</v>
      </c>
      <c r="E32" s="38">
        <f>[5]InteractionDiagram!E32</f>
        <v>21037243576.025166</v>
      </c>
      <c r="G32" s="32"/>
      <c r="H32" s="32"/>
      <c r="I32" s="33"/>
      <c r="J32" s="34"/>
      <c r="K32" s="34"/>
    </row>
    <row r="33" spans="1:11" x14ac:dyDescent="0.35">
      <c r="A33" s="32">
        <f>[5]InteractionDiagram!A33</f>
        <v>9940.5937074212961</v>
      </c>
      <c r="B33" s="32">
        <f>[5]InteractionDiagram!B33</f>
        <v>-1811.9388748166987</v>
      </c>
      <c r="C33" s="32">
        <f>[5]InteractionDiagram!C33</f>
        <v>1</v>
      </c>
      <c r="D33" s="32">
        <f>[5]InteractionDiagram!D33</f>
        <v>613.66523975246503</v>
      </c>
      <c r="E33" s="38">
        <f>[5]InteractionDiagram!E33</f>
        <v>23443762927.718349</v>
      </c>
      <c r="G33" s="32"/>
      <c r="H33" s="32"/>
      <c r="I33" s="33"/>
      <c r="J33" s="34"/>
      <c r="K33" s="34"/>
    </row>
    <row r="34" spans="1:11" x14ac:dyDescent="0.35">
      <c r="A34" s="32">
        <f>[5]InteractionDiagram!A34</f>
        <v>10405.578229318324</v>
      </c>
      <c r="B34" s="32">
        <f>[5]InteractionDiagram!B34</f>
        <v>-1747.7845785431464</v>
      </c>
      <c r="C34" s="32">
        <f>[5]InteractionDiagram!C34</f>
        <v>1</v>
      </c>
      <c r="D34" s="32">
        <f>[5]InteractionDiagram!D34</f>
        <v>640.34633713300263</v>
      </c>
      <c r="E34" s="38">
        <f>[5]InteractionDiagram!E34</f>
        <v>26068528652.528454</v>
      </c>
      <c r="G34" s="32"/>
      <c r="H34" s="32"/>
      <c r="I34" s="33"/>
      <c r="J34" s="34"/>
      <c r="K34" s="34"/>
    </row>
    <row r="35" spans="1:11" x14ac:dyDescent="0.35">
      <c r="A35" s="32">
        <f>[5]InteractionDiagram!A35</f>
        <v>10867.539930498398</v>
      </c>
      <c r="B35" s="32">
        <f>[5]InteractionDiagram!B35</f>
        <v>-1674.6596346458264</v>
      </c>
      <c r="C35" s="32">
        <f>[5]InteractionDiagram!C35</f>
        <v>1</v>
      </c>
      <c r="D35" s="32">
        <f>[5]InteractionDiagram!D35</f>
        <v>667.02743451354024</v>
      </c>
      <c r="E35" s="38">
        <f>[5]InteractionDiagram!E35</f>
        <v>28921059067.036507</v>
      </c>
      <c r="G35" s="32"/>
      <c r="H35" s="32"/>
      <c r="I35" s="33"/>
      <c r="J35" s="34"/>
      <c r="K35" s="34"/>
    </row>
    <row r="36" spans="1:11" x14ac:dyDescent="0.35">
      <c r="A36" s="32">
        <f>[5]InteractionDiagram!A36</f>
        <v>11326.827597967316</v>
      </c>
      <c r="B36" s="32">
        <f>[5]InteractionDiagram!B36</f>
        <v>-1592.4384798026513</v>
      </c>
      <c r="C36" s="32">
        <f>[5]InteractionDiagram!C36</f>
        <v>1</v>
      </c>
      <c r="D36" s="32">
        <f>[5]InteractionDiagram!D36</f>
        <v>693.70853189407785</v>
      </c>
      <c r="E36" s="38">
        <f>[5]InteractionDiagram!E36</f>
        <v>32010869248.001926</v>
      </c>
      <c r="G36" s="32"/>
      <c r="H36" s="32"/>
      <c r="I36" s="33"/>
      <c r="J36" s="34"/>
      <c r="K36" s="34"/>
    </row>
    <row r="37" spans="1:11" x14ac:dyDescent="0.35">
      <c r="A37" s="32">
        <f>[5]InteractionDiagram!A37</f>
        <v>11783.738346581877</v>
      </c>
      <c r="B37" s="32">
        <f>[5]InteractionDiagram!B37</f>
        <v>-1501.0141526651737</v>
      </c>
      <c r="C37" s="32">
        <f>[5]InteractionDiagram!C37</f>
        <v>1</v>
      </c>
      <c r="D37" s="32">
        <f>[5]InteractionDiagram!D37</f>
        <v>720.38962927461546</v>
      </c>
      <c r="E37" s="38">
        <f>[5]InteractionDiagram!E37</f>
        <v>35347471622.210495</v>
      </c>
      <c r="G37" s="32"/>
      <c r="H37" s="32"/>
      <c r="I37" s="33"/>
      <c r="J37" s="34"/>
      <c r="K37" s="34"/>
    </row>
    <row r="38" spans="1:11" x14ac:dyDescent="0.35">
      <c r="A38" s="32">
        <f>[5]InteractionDiagram!A38</f>
        <v>12238.526846219334</v>
      </c>
      <c r="B38" s="32">
        <f>[5]InteractionDiagram!B38</f>
        <v>-1400.294972077583</v>
      </c>
      <c r="C38" s="32">
        <f>[5]InteractionDiagram!C38</f>
        <v>1</v>
      </c>
      <c r="D38" s="32">
        <f>[5]InteractionDiagram!D38</f>
        <v>747.07072665515307</v>
      </c>
      <c r="E38" s="38">
        <f>[5]InteractionDiagram!E38</f>
        <v>38940376431.9832</v>
      </c>
      <c r="G38" s="32"/>
      <c r="H38" s="32"/>
      <c r="I38" s="33"/>
      <c r="J38" s="34"/>
      <c r="K38" s="34"/>
    </row>
    <row r="39" spans="1:11" x14ac:dyDescent="0.35">
      <c r="A39" s="32">
        <f>[5]InteractionDiagram!A39</f>
        <v>12691.412639877315</v>
      </c>
      <c r="B39" s="32">
        <f>[5]InteractionDiagram!B39</f>
        <v>-1290.2019025607326</v>
      </c>
      <c r="C39" s="32">
        <f>[5]InteractionDiagram!C39</f>
        <v>1</v>
      </c>
      <c r="D39" s="32">
        <f>[5]InteractionDiagram!D39</f>
        <v>773.75182403569067</v>
      </c>
      <c r="E39" s="38">
        <f>[5]InteractionDiagram!E39</f>
        <v>42799092105.886948</v>
      </c>
      <c r="G39" s="32"/>
      <c r="H39" s="32"/>
      <c r="I39" s="33"/>
      <c r="J39" s="34"/>
      <c r="K39" s="34"/>
    </row>
    <row r="40" spans="1:11" x14ac:dyDescent="0.35">
      <c r="A40" s="32">
        <f>[5]InteractionDiagram!A40</f>
        <v>13142.586000000001</v>
      </c>
      <c r="B40" s="32">
        <f>[5]InteractionDiagram!B40</f>
        <v>-1170.6664466998268</v>
      </c>
      <c r="C40" s="32">
        <f>[5]InteractionDiagram!C40</f>
        <v>1</v>
      </c>
      <c r="D40" s="32">
        <f>[5]InteractionDiagram!D40</f>
        <v>800.43292141612824</v>
      </c>
      <c r="E40" s="38">
        <f>[5]InteractionDiagram!E40</f>
        <v>46311231890.121979</v>
      </c>
      <c r="G40" s="32"/>
      <c r="H40" s="32"/>
      <c r="I40" s="33"/>
      <c r="J40" s="34"/>
      <c r="K40" s="34"/>
    </row>
    <row r="41" spans="1:11" x14ac:dyDescent="0.35">
      <c r="A41" s="32">
        <f>[5]InteractionDiagram!A41</f>
        <v>13142.586000000001</v>
      </c>
      <c r="B41" s="32">
        <v>0</v>
      </c>
      <c r="C41" s="33">
        <v>1</v>
      </c>
      <c r="D41" s="34"/>
      <c r="E41" s="34"/>
      <c r="G41" s="32"/>
      <c r="H41" s="32"/>
      <c r="I41" s="33"/>
      <c r="J41" s="34"/>
      <c r="K41" s="34"/>
    </row>
    <row r="42" spans="1:11" x14ac:dyDescent="0.35">
      <c r="A42" s="32"/>
      <c r="B42" s="32"/>
      <c r="C42" s="33"/>
      <c r="D42" s="34"/>
      <c r="E42" s="34"/>
      <c r="G42" s="32"/>
      <c r="H42" s="32"/>
      <c r="I42" s="33"/>
      <c r="J42" s="34"/>
      <c r="K42" s="34"/>
    </row>
    <row r="43" spans="1:11" x14ac:dyDescent="0.35">
      <c r="A43" s="32">
        <v>-800</v>
      </c>
      <c r="B43" s="32">
        <v>8.5000000007892265</v>
      </c>
      <c r="C43" s="33">
        <v>1</v>
      </c>
      <c r="D43" s="34">
        <v>1E-10</v>
      </c>
      <c r="E43" s="34">
        <v>1853579090.0672405</v>
      </c>
      <c r="G43" s="32"/>
      <c r="H43" s="32"/>
      <c r="I43" s="33"/>
      <c r="J43" s="34"/>
      <c r="K43" s="34"/>
    </row>
    <row r="44" spans="1:11" x14ac:dyDescent="0.35">
      <c r="A44" s="32">
        <v>-252.11052324975947</v>
      </c>
      <c r="B44" s="32">
        <v>189.58622589488488</v>
      </c>
      <c r="C44" s="33">
        <v>1</v>
      </c>
      <c r="D44" s="34">
        <v>26.724205277984101</v>
      </c>
      <c r="E44" s="34">
        <v>3638743695.912323</v>
      </c>
      <c r="G44" s="32"/>
      <c r="H44" s="32"/>
      <c r="I44" s="33"/>
      <c r="J44" s="34"/>
      <c r="K44" s="34"/>
    </row>
    <row r="45" spans="1:11" x14ac:dyDescent="0.35">
      <c r="A45" s="32">
        <v>233.52336434299411</v>
      </c>
      <c r="B45" s="32">
        <v>381.3690467100904</v>
      </c>
      <c r="C45" s="33">
        <v>1</v>
      </c>
      <c r="D45" s="34">
        <v>53.448410555868207</v>
      </c>
      <c r="E45" s="34">
        <v>4006515632.3697896</v>
      </c>
      <c r="G45" s="32"/>
      <c r="H45" s="32"/>
      <c r="I45" s="33"/>
      <c r="J45" s="34"/>
      <c r="K45" s="34"/>
    </row>
    <row r="46" spans="1:11" x14ac:dyDescent="0.35">
      <c r="A46" s="32">
        <v>988.83137080985364</v>
      </c>
      <c r="B46" s="32">
        <v>660.14315733710998</v>
      </c>
      <c r="C46" s="33">
        <v>1</v>
      </c>
      <c r="D46" s="34">
        <v>80.172615833752303</v>
      </c>
      <c r="E46" s="34">
        <v>4189448134.6488504</v>
      </c>
      <c r="G46" s="32"/>
      <c r="H46" s="32"/>
      <c r="I46" s="33"/>
      <c r="J46" s="34"/>
      <c r="K46" s="34"/>
    </row>
    <row r="47" spans="1:11" x14ac:dyDescent="0.35">
      <c r="A47" s="32">
        <v>1562.2869874177566</v>
      </c>
      <c r="B47" s="32">
        <v>863.35901463204129</v>
      </c>
      <c r="C47" s="33">
        <v>1</v>
      </c>
      <c r="D47" s="34">
        <v>106.8968211116364</v>
      </c>
      <c r="E47" s="34">
        <v>4332683447.8028774</v>
      </c>
      <c r="G47" s="32"/>
      <c r="H47" s="32"/>
      <c r="I47" s="33"/>
      <c r="J47" s="34"/>
      <c r="K47" s="34"/>
    </row>
    <row r="48" spans="1:11" x14ac:dyDescent="0.35">
      <c r="A48" s="32">
        <v>2088.4020230820024</v>
      </c>
      <c r="B48" s="32">
        <v>1039.4408698043919</v>
      </c>
      <c r="C48" s="33">
        <v>1</v>
      </c>
      <c r="D48" s="34">
        <v>133.62102638952049</v>
      </c>
      <c r="E48" s="34">
        <v>4483193615.298398</v>
      </c>
      <c r="G48" s="32"/>
      <c r="H48" s="32"/>
      <c r="I48" s="33"/>
      <c r="J48" s="34"/>
      <c r="K48" s="34"/>
    </row>
    <row r="49" spans="1:11" x14ac:dyDescent="0.35">
      <c r="A49" s="32">
        <v>2549.193735493438</v>
      </c>
      <c r="B49" s="32">
        <v>1181.914935622867</v>
      </c>
      <c r="C49" s="33">
        <v>1</v>
      </c>
      <c r="D49" s="34">
        <v>160.34523166740459</v>
      </c>
      <c r="E49" s="34">
        <v>4664864691.0906715</v>
      </c>
      <c r="G49" s="32"/>
      <c r="H49" s="32"/>
      <c r="I49" s="33"/>
      <c r="J49" s="34"/>
      <c r="K49" s="34"/>
    </row>
    <row r="50" spans="1:11" x14ac:dyDescent="0.35">
      <c r="A50" s="32">
        <v>2977.083212242077</v>
      </c>
      <c r="B50" s="32">
        <v>1302.4528036198712</v>
      </c>
      <c r="C50" s="33">
        <v>1</v>
      </c>
      <c r="D50" s="34">
        <v>187.06943694528869</v>
      </c>
      <c r="E50" s="34">
        <v>4893894599.1927624</v>
      </c>
      <c r="G50" s="32"/>
      <c r="H50" s="32"/>
      <c r="I50" s="33"/>
      <c r="J50" s="34"/>
      <c r="K50" s="34"/>
    </row>
    <row r="51" spans="1:11" x14ac:dyDescent="0.35">
      <c r="A51" s="32">
        <v>3404.9726889907161</v>
      </c>
      <c r="B51" s="32">
        <v>1412.8992786340114</v>
      </c>
      <c r="C51" s="33">
        <v>1</v>
      </c>
      <c r="D51" s="34">
        <v>213.79364222317278</v>
      </c>
      <c r="E51" s="34">
        <v>5183335631.8445377</v>
      </c>
      <c r="G51" s="32"/>
      <c r="H51" s="32"/>
      <c r="I51" s="33"/>
      <c r="J51" s="34"/>
      <c r="K51" s="34"/>
    </row>
    <row r="52" spans="1:11" x14ac:dyDescent="0.35">
      <c r="A52" s="32">
        <v>3832.8621657393555</v>
      </c>
      <c r="B52" s="32">
        <v>1513.254360665288</v>
      </c>
      <c r="C52" s="33">
        <v>1</v>
      </c>
      <c r="D52" s="34">
        <v>240.51784750105688</v>
      </c>
      <c r="E52" s="34">
        <v>5544756615.6492624</v>
      </c>
      <c r="G52" s="32"/>
      <c r="H52" s="32"/>
      <c r="I52" s="33"/>
      <c r="J52" s="34"/>
      <c r="K52" s="34"/>
    </row>
    <row r="53" spans="1:11" x14ac:dyDescent="0.35">
      <c r="A53" s="32">
        <v>4260.7516424879959</v>
      </c>
      <c r="B53" s="32">
        <v>1603.5180497137003</v>
      </c>
      <c r="C53" s="33">
        <v>1</v>
      </c>
      <c r="D53" s="34">
        <v>267.242052778941</v>
      </c>
      <c r="E53" s="34">
        <v>5988951859.320591</v>
      </c>
      <c r="G53" s="32"/>
      <c r="H53" s="32"/>
      <c r="I53" s="33"/>
      <c r="J53" s="34"/>
      <c r="K53" s="34"/>
    </row>
    <row r="54" spans="1:11" x14ac:dyDescent="0.35">
      <c r="A54" s="32">
        <v>4688.6411192366349</v>
      </c>
      <c r="B54" s="32">
        <v>1683.6903457792489</v>
      </c>
      <c r="C54" s="33">
        <v>1</v>
      </c>
      <c r="D54" s="34">
        <v>293.9662580568251</v>
      </c>
      <c r="E54" s="34">
        <v>6526279003.8352947</v>
      </c>
      <c r="G54" s="32"/>
      <c r="H54" s="32"/>
      <c r="I54" s="33"/>
      <c r="J54" s="34"/>
      <c r="K54" s="34"/>
    </row>
    <row r="55" spans="1:11" x14ac:dyDescent="0.35">
      <c r="A55" s="32">
        <v>5116.5305959852749</v>
      </c>
      <c r="B55" s="32">
        <v>1753.7712488619331</v>
      </c>
      <c r="C55" s="33">
        <v>1</v>
      </c>
      <c r="D55" s="34">
        <v>320.69046333470919</v>
      </c>
      <c r="E55" s="34">
        <v>7166834215.852005</v>
      </c>
      <c r="G55" s="32"/>
      <c r="H55" s="32"/>
      <c r="I55" s="33"/>
      <c r="J55" s="34"/>
      <c r="K55" s="34"/>
    </row>
    <row r="56" spans="1:11" x14ac:dyDescent="0.35">
      <c r="A56" s="32">
        <v>5544.4200727339148</v>
      </c>
      <c r="B56" s="32">
        <v>1813.7607589617537</v>
      </c>
      <c r="C56" s="33">
        <v>1</v>
      </c>
      <c r="D56" s="34">
        <v>347.41466861259329</v>
      </c>
      <c r="E56" s="34">
        <v>7920549300.1898556</v>
      </c>
      <c r="G56" s="32"/>
      <c r="H56" s="32"/>
      <c r="I56" s="33"/>
      <c r="J56" s="34"/>
      <c r="K56" s="34"/>
    </row>
    <row r="57" spans="1:11" x14ac:dyDescent="0.35">
      <c r="A57" s="32">
        <v>5972.3095494825538</v>
      </c>
      <c r="B57" s="32">
        <v>1863.6588760787101</v>
      </c>
      <c r="C57" s="33">
        <v>1</v>
      </c>
      <c r="D57" s="34">
        <v>374.13887389047738</v>
      </c>
      <c r="E57" s="34">
        <v>8797248523.4905739</v>
      </c>
      <c r="G57" s="32"/>
      <c r="H57" s="32"/>
      <c r="I57" s="33"/>
      <c r="J57" s="34"/>
      <c r="K57" s="34"/>
    </row>
    <row r="58" spans="1:11" x14ac:dyDescent="0.35">
      <c r="A58" s="32">
        <v>6400.1990262311929</v>
      </c>
      <c r="B58" s="32">
        <v>1903.4656002128022</v>
      </c>
      <c r="C58" s="33">
        <v>1</v>
      </c>
      <c r="D58" s="34">
        <v>400.86307916836148</v>
      </c>
      <c r="E58" s="34">
        <v>9806683388.2027779</v>
      </c>
      <c r="G58" s="32"/>
      <c r="H58" s="32"/>
      <c r="I58" s="33"/>
      <c r="J58" s="34"/>
      <c r="K58" s="34"/>
    </row>
    <row r="59" spans="1:11" x14ac:dyDescent="0.35">
      <c r="A59" s="32">
        <v>6828.0885029798319</v>
      </c>
      <c r="B59" s="32">
        <v>1933.1809313640308</v>
      </c>
      <c r="C59" s="33">
        <v>1</v>
      </c>
      <c r="D59" s="34">
        <v>427.58728444624558</v>
      </c>
      <c r="E59" s="34">
        <v>10958554732.635923</v>
      </c>
      <c r="G59" s="32"/>
      <c r="H59" s="32"/>
      <c r="I59" s="33"/>
      <c r="J59" s="34"/>
      <c r="K59" s="34"/>
    </row>
    <row r="60" spans="1:11" x14ac:dyDescent="0.35">
      <c r="A60" s="32">
        <v>7255.9779797284709</v>
      </c>
      <c r="B60" s="32">
        <v>1952.8048695323951</v>
      </c>
      <c r="C60" s="33">
        <v>1</v>
      </c>
      <c r="D60" s="34">
        <v>454.31148972412967</v>
      </c>
      <c r="E60" s="34">
        <v>12262527237.558208</v>
      </c>
      <c r="G60" s="32"/>
      <c r="H60" s="32"/>
      <c r="I60" s="33"/>
      <c r="J60" s="34"/>
      <c r="K60" s="34"/>
    </row>
    <row r="61" spans="1:11" x14ac:dyDescent="0.35">
      <c r="A61" s="32">
        <v>7683.8674564771109</v>
      </c>
      <c r="B61" s="32">
        <v>1962.3374147178952</v>
      </c>
      <c r="C61" s="33">
        <v>1</v>
      </c>
      <c r="D61" s="34">
        <v>481.03569500201377</v>
      </c>
      <c r="E61" s="34">
        <v>13728239218.382128</v>
      </c>
      <c r="G61" s="32"/>
      <c r="H61" s="32"/>
      <c r="I61" s="33"/>
      <c r="J61" s="34"/>
      <c r="K61" s="34"/>
    </row>
    <row r="62" spans="1:11" x14ac:dyDescent="0.35">
      <c r="A62" s="32">
        <v>8111.7569332257508</v>
      </c>
      <c r="B62" s="32">
        <v>1961.7785669205318</v>
      </c>
      <c r="C62" s="33">
        <v>1</v>
      </c>
      <c r="D62" s="34">
        <v>507.75990027989786</v>
      </c>
      <c r="E62" s="34">
        <v>15365309398.556259</v>
      </c>
      <c r="G62" s="32"/>
      <c r="H62" s="32"/>
      <c r="I62" s="33"/>
      <c r="J62" s="34"/>
      <c r="K62" s="34"/>
    </row>
    <row r="63" spans="1:11" x14ac:dyDescent="0.35">
      <c r="A63" s="32">
        <v>8539.646409974388</v>
      </c>
      <c r="B63" s="32">
        <v>1951.1283261403041</v>
      </c>
      <c r="C63" s="33">
        <v>1</v>
      </c>
      <c r="D63" s="34">
        <v>534.48410555778196</v>
      </c>
      <c r="E63" s="34">
        <v>17183341696.862713</v>
      </c>
      <c r="G63" s="32"/>
      <c r="H63" s="32"/>
      <c r="I63" s="33"/>
      <c r="J63" s="34"/>
      <c r="K63" s="34"/>
    </row>
    <row r="64" spans="1:11" x14ac:dyDescent="0.35">
      <c r="A64" s="32">
        <v>8984.7427653145332</v>
      </c>
      <c r="B64" s="32">
        <v>1923.7620441194829</v>
      </c>
      <c r="C64" s="33">
        <v>1</v>
      </c>
      <c r="D64" s="34">
        <v>561.20831083566611</v>
      </c>
      <c r="E64" s="34">
        <v>19191928676.386971</v>
      </c>
      <c r="G64" s="32"/>
      <c r="H64" s="32"/>
      <c r="I64" s="33"/>
      <c r="J64" s="34"/>
      <c r="K64" s="34"/>
    </row>
    <row r="65" spans="1:11" x14ac:dyDescent="0.35">
      <c r="A65" s="32">
        <v>9459.1228384908263</v>
      </c>
      <c r="B65" s="32">
        <v>1875.0301377488818</v>
      </c>
      <c r="C65" s="33">
        <v>1</v>
      </c>
      <c r="D65" s="34">
        <v>587.93251611355026</v>
      </c>
      <c r="E65" s="34">
        <v>21400654072.224834</v>
      </c>
      <c r="G65" s="32"/>
      <c r="H65" s="32"/>
      <c r="I65" s="33"/>
      <c r="J65" s="34"/>
      <c r="K65" s="34"/>
    </row>
    <row r="66" spans="1:11" x14ac:dyDescent="0.35">
      <c r="A66" s="32">
        <v>9929.4602511081921</v>
      </c>
      <c r="B66" s="32">
        <v>1817.7632627106025</v>
      </c>
      <c r="C66" s="33">
        <v>1</v>
      </c>
      <c r="D66" s="34">
        <v>614.65672139143442</v>
      </c>
      <c r="E66" s="34">
        <v>23819094672.784405</v>
      </c>
      <c r="G66" s="32"/>
      <c r="H66" s="32"/>
      <c r="I66" s="33"/>
      <c r="J66" s="34"/>
      <c r="K66" s="34"/>
    </row>
    <row r="67" spans="1:11" x14ac:dyDescent="0.35">
      <c r="A67" s="32">
        <v>10396.260335736499</v>
      </c>
      <c r="B67" s="32">
        <v>1751.7668659652477</v>
      </c>
      <c r="C67" s="33">
        <v>1</v>
      </c>
      <c r="D67" s="34">
        <v>641.38092666931857</v>
      </c>
      <c r="E67" s="34">
        <v>26456821739.653839</v>
      </c>
      <c r="G67" s="32"/>
      <c r="H67" s="32"/>
      <c r="I67" s="33"/>
      <c r="J67" s="34"/>
      <c r="K67" s="34"/>
    </row>
    <row r="68" spans="1:11" x14ac:dyDescent="0.35">
      <c r="A68" s="32">
        <v>10859.947571734432</v>
      </c>
      <c r="B68" s="32">
        <v>1676.877522959722</v>
      </c>
      <c r="C68" s="33">
        <v>1</v>
      </c>
      <c r="D68" s="34">
        <v>668.10513194720272</v>
      </c>
      <c r="E68" s="34">
        <v>29323402092.889755</v>
      </c>
      <c r="G68" s="32"/>
      <c r="H68" s="32"/>
      <c r="I68" s="33"/>
      <c r="J68" s="34"/>
      <c r="K68" s="34"/>
    </row>
    <row r="69" spans="1:11" x14ac:dyDescent="0.35">
      <c r="A69" s="32">
        <v>11320.881133943958</v>
      </c>
      <c r="B69" s="32">
        <v>1592.956951379869</v>
      </c>
      <c r="C69" s="33">
        <v>1</v>
      </c>
      <c r="D69" s="34">
        <v>694.82933722508687</v>
      </c>
      <c r="E69" s="34">
        <v>32428398950.231342</v>
      </c>
      <c r="G69" s="32"/>
      <c r="H69" s="32"/>
      <c r="I69" s="33"/>
      <c r="J69" s="34"/>
      <c r="K69" s="34"/>
    </row>
    <row r="70" spans="1:11" x14ac:dyDescent="0.35">
      <c r="A70" s="32">
        <v>11779.366986119345</v>
      </c>
      <c r="B70" s="32">
        <v>1499.8873551802956</v>
      </c>
      <c r="C70" s="33">
        <v>1</v>
      </c>
      <c r="D70" s="34">
        <v>721.55354250297103</v>
      </c>
      <c r="E70" s="34">
        <v>35781372582.962769</v>
      </c>
      <c r="G70" s="32"/>
      <c r="H70" s="32"/>
      <c r="I70" s="33"/>
      <c r="J70" s="34"/>
      <c r="K70" s="34"/>
    </row>
    <row r="71" spans="1:11" x14ac:dyDescent="0.35">
      <c r="A71" s="32">
        <v>12235.667382907104</v>
      </c>
      <c r="B71" s="32">
        <v>1397.5677663220933</v>
      </c>
      <c r="C71" s="33">
        <v>1</v>
      </c>
      <c r="D71" s="34">
        <v>748.27774778085518</v>
      </c>
      <c r="E71" s="34">
        <v>39391880833.517105</v>
      </c>
      <c r="G71" s="32"/>
      <c r="H71" s="32"/>
      <c r="I71" s="33"/>
      <c r="J71" s="34"/>
      <c r="K71" s="34"/>
    </row>
    <row r="72" spans="1:11" x14ac:dyDescent="0.35">
      <c r="A72" s="32">
        <v>12690.008405899067</v>
      </c>
      <c r="B72" s="32">
        <v>1285.9111433924108</v>
      </c>
      <c r="C72" s="33">
        <v>1</v>
      </c>
      <c r="D72" s="34">
        <v>775.00195305873933</v>
      </c>
      <c r="E72" s="34">
        <v>43269479527.670799</v>
      </c>
      <c r="G72" s="32"/>
      <c r="H72" s="32"/>
      <c r="I72" s="33"/>
      <c r="J72" s="34"/>
      <c r="K72" s="34"/>
    </row>
    <row r="73" spans="1:11" x14ac:dyDescent="0.35">
      <c r="A73" s="32">
        <v>13142.586000000001</v>
      </c>
      <c r="B73" s="32">
        <v>1164.8420505005824</v>
      </c>
      <c r="C73" s="33">
        <v>1</v>
      </c>
      <c r="D73" s="34">
        <v>801.7261583365231</v>
      </c>
      <c r="E73" s="34">
        <v>47423722805.534447</v>
      </c>
      <c r="G73" s="32"/>
      <c r="H73" s="32"/>
      <c r="I73" s="33"/>
      <c r="J73" s="34"/>
      <c r="K73" s="34"/>
    </row>
    <row r="74" spans="1:11" x14ac:dyDescent="0.35">
      <c r="A74" s="32">
        <v>13142.586000000001</v>
      </c>
      <c r="B74" s="32">
        <v>0</v>
      </c>
      <c r="C74" s="33">
        <v>1</v>
      </c>
      <c r="D74" s="34"/>
      <c r="E74" s="34"/>
      <c r="G74" s="32"/>
      <c r="H74" s="32"/>
      <c r="I74" s="33"/>
      <c r="J74" s="34"/>
      <c r="K74" s="34"/>
    </row>
    <row r="75" spans="1:11" x14ac:dyDescent="0.35">
      <c r="A75" s="32"/>
      <c r="B75" s="32"/>
      <c r="C75" s="33"/>
      <c r="D75" s="34"/>
      <c r="E75" s="34"/>
      <c r="G75" s="32"/>
      <c r="H75" s="32"/>
      <c r="I75" s="33"/>
      <c r="J75" s="34"/>
      <c r="K75" s="34"/>
    </row>
    <row r="76" spans="1:11" x14ac:dyDescent="0.35">
      <c r="A76" s="32"/>
      <c r="B76" s="32"/>
      <c r="C76" s="33"/>
      <c r="D76" s="34"/>
      <c r="E76" s="34"/>
      <c r="G76" s="32"/>
      <c r="H76" s="32"/>
      <c r="I76" s="33"/>
      <c r="J76" s="34"/>
      <c r="K76" s="34"/>
    </row>
  </sheetData>
  <mergeCells count="3">
    <mergeCell ref="A1:C2"/>
    <mergeCell ref="E1:H2"/>
    <mergeCell ref="E3:H4"/>
  </mergeCells>
  <hyperlinks>
    <hyperlink ref="B3" r:id="rId1" display="WeldGroup" xr:uid="{40ED3BA3-59FF-45A2-9F40-63394B6349E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8B4DF-ED08-41E4-9A40-30B6A34B375E}">
  <dimension ref="A1:K76"/>
  <sheetViews>
    <sheetView workbookViewId="0">
      <selection activeCell="B10" sqref="B10:E10"/>
    </sheetView>
  </sheetViews>
  <sheetFormatPr defaultRowHeight="14.5" x14ac:dyDescent="0.35"/>
  <cols>
    <col min="1" max="2" width="7.7265625" customWidth="1"/>
    <col min="3" max="3" width="6.453125" customWidth="1"/>
    <col min="4" max="4" width="8.1796875" customWidth="1"/>
    <col min="5" max="9" width="7.7265625" customWidth="1"/>
    <col min="10" max="10" width="9.26953125" customWidth="1"/>
    <col min="11" max="11" width="7.7265625" customWidth="1"/>
  </cols>
  <sheetData>
    <row r="1" spans="1:11" ht="15" customHeight="1" x14ac:dyDescent="0.35">
      <c r="A1" s="39" t="str">
        <f>IF([6]Input!A1="","",[6]Input!A1)</f>
        <v/>
      </c>
      <c r="B1" s="49"/>
      <c r="C1" s="50"/>
      <c r="D1" s="1" t="s">
        <v>0</v>
      </c>
      <c r="E1" s="40" t="str">
        <f>IF([6]Input!E1="","",[6]Input!E1)</f>
        <v>OLN PTUS</v>
      </c>
      <c r="F1" s="49"/>
      <c r="G1" s="49"/>
      <c r="H1" s="49"/>
      <c r="I1" s="1" t="s">
        <v>1</v>
      </c>
      <c r="J1" s="2" t="str">
        <f>IF([6]Input!K1="","",[6]Input!K1)</f>
        <v/>
      </c>
      <c r="K1" s="3"/>
    </row>
    <row r="2" spans="1:11" x14ac:dyDescent="0.35">
      <c r="A2" s="51"/>
      <c r="B2" s="52"/>
      <c r="C2" s="53"/>
      <c r="D2" s="4"/>
      <c r="E2" s="52"/>
      <c r="F2" s="52"/>
      <c r="G2" s="52"/>
      <c r="H2" s="52"/>
      <c r="I2" s="5" t="s">
        <v>2</v>
      </c>
      <c r="J2" s="6">
        <f ca="1">NOW()</f>
        <v>46155.750915972225</v>
      </c>
      <c r="K2" s="7"/>
    </row>
    <row r="3" spans="1:11" ht="15" customHeight="1" x14ac:dyDescent="0.35">
      <c r="A3" s="8"/>
      <c r="B3" s="9" t="s">
        <v>3</v>
      </c>
      <c r="C3" s="10"/>
      <c r="D3" s="11" t="s">
        <v>4</v>
      </c>
      <c r="E3" s="45" t="str">
        <f>IF([6]Input!E3="","",[6]Input!E3)</f>
        <v>Bain Adit  - Final Lining</v>
      </c>
      <c r="F3" s="54"/>
      <c r="G3" s="54"/>
      <c r="H3" s="54"/>
      <c r="I3" s="11" t="s">
        <v>5</v>
      </c>
      <c r="J3" s="12" t="str">
        <f>IF([6]Input!K3="","",[6]Input!K3)</f>
        <v/>
      </c>
      <c r="K3" s="13"/>
    </row>
    <row r="4" spans="1:11" ht="15" thickBot="1" x14ac:dyDescent="0.4">
      <c r="A4" s="14"/>
      <c r="B4" s="15">
        <f>[6]Input!B4</f>
        <v>2021.04</v>
      </c>
      <c r="C4" s="16"/>
      <c r="D4" s="17"/>
      <c r="E4" s="55"/>
      <c r="F4" s="55"/>
      <c r="G4" s="55"/>
      <c r="H4" s="55"/>
      <c r="I4" s="18" t="s">
        <v>2</v>
      </c>
      <c r="J4" s="19">
        <f>IF([6]Input!K4="","",[6]Input!K4)</f>
        <v>46154.429297106479</v>
      </c>
      <c r="K4" s="20"/>
    </row>
    <row r="6" spans="1:11" ht="19" x14ac:dyDescent="0.5">
      <c r="A6" s="21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3"/>
    </row>
    <row r="8" spans="1:11" ht="54.5" x14ac:dyDescent="0.4">
      <c r="A8" s="24" t="s">
        <v>7</v>
      </c>
      <c r="B8" s="25" t="s">
        <v>8</v>
      </c>
      <c r="C8" s="26" t="s">
        <v>9</v>
      </c>
      <c r="D8" s="27" t="s">
        <v>10</v>
      </c>
      <c r="E8" s="27" t="s">
        <v>11</v>
      </c>
      <c r="G8" s="24" t="s">
        <v>7</v>
      </c>
      <c r="H8" s="25" t="s">
        <v>12</v>
      </c>
      <c r="I8" s="26" t="s">
        <v>9</v>
      </c>
      <c r="J8" s="27" t="s">
        <v>13</v>
      </c>
      <c r="K8" s="27" t="s">
        <v>11</v>
      </c>
    </row>
    <row r="9" spans="1:11" x14ac:dyDescent="0.35">
      <c r="A9" s="28" t="str">
        <f>UnitForce</f>
        <v>kN</v>
      </c>
      <c r="B9" s="29" t="str">
        <f>UnitMoment</f>
        <v>kN-M</v>
      </c>
      <c r="C9" s="30"/>
      <c r="D9" s="29" t="str">
        <f>UnitLength</f>
        <v>mm</v>
      </c>
      <c r="E9" s="31" t="str">
        <f>UnitLength&amp;"^4"</f>
        <v>mm^4</v>
      </c>
      <c r="G9" s="28" t="str">
        <f>UnitForce</f>
        <v>kN</v>
      </c>
      <c r="H9" s="29" t="str">
        <f>UnitMoment</f>
        <v>kN-M</v>
      </c>
      <c r="I9" s="30"/>
      <c r="J9" s="29" t="str">
        <f>UnitLength</f>
        <v>mm</v>
      </c>
      <c r="K9" s="31" t="str">
        <f>UnitLength&amp;"^4"</f>
        <v>mm^4</v>
      </c>
    </row>
    <row r="10" spans="1:11" x14ac:dyDescent="0.35">
      <c r="A10" s="32" cm="1">
        <f t="array" ref="A10">[6]!FirstP</f>
        <v>-1200</v>
      </c>
      <c r="B10" s="32">
        <f>[6]InteractionDiagram!B10</f>
        <v>12.749999999210774</v>
      </c>
      <c r="C10" s="32">
        <f>[6]InteractionDiagram!C10</f>
        <v>1</v>
      </c>
      <c r="D10" s="32">
        <f>[6]InteractionDiagram!D10</f>
        <v>1E-10</v>
      </c>
      <c r="E10" s="32">
        <f>[6]InteractionDiagram!E10</f>
        <v>2780368635.0870504</v>
      </c>
      <c r="G10" s="32"/>
      <c r="H10" s="32"/>
      <c r="I10" s="33"/>
      <c r="J10" s="34"/>
      <c r="K10" s="34"/>
    </row>
    <row r="11" spans="1:11" x14ac:dyDescent="0.35">
      <c r="A11" s="32">
        <f>[6]InteractionDiagram!A11</f>
        <v>-589.896116945225</v>
      </c>
      <c r="B11" s="32">
        <f>[6]InteractionDiagram!B11</f>
        <v>-169.24713269646517</v>
      </c>
      <c r="C11" s="32">
        <f>[6]InteractionDiagram!C11</f>
        <v>1</v>
      </c>
      <c r="D11" s="32">
        <f>[6]InteractionDiagram!D11</f>
        <v>26.86250792824017</v>
      </c>
      <c r="E11" s="32">
        <f>[6]InteractionDiagram!E11</f>
        <v>4830659473.8592129</v>
      </c>
      <c r="G11" s="32"/>
      <c r="H11" s="32"/>
      <c r="I11" s="33"/>
      <c r="J11" s="34"/>
      <c r="K11" s="34"/>
    </row>
    <row r="12" spans="1:11" x14ac:dyDescent="0.35">
      <c r="A12" s="32">
        <f>[6]InteractionDiagram!A12</f>
        <v>423.0093574495894</v>
      </c>
      <c r="B12" s="32">
        <f>[6]InteractionDiagram!B12</f>
        <v>-565.42676519411725</v>
      </c>
      <c r="C12" s="32">
        <f>[6]InteractionDiagram!C12</f>
        <v>1</v>
      </c>
      <c r="D12" s="32">
        <f>[6]InteractionDiagram!D12</f>
        <v>53.725015856380338</v>
      </c>
      <c r="E12" s="32">
        <f>[6]InteractionDiagram!E12</f>
        <v>5392068872.6014681</v>
      </c>
      <c r="G12" s="32"/>
      <c r="H12" s="32"/>
      <c r="I12" s="33"/>
      <c r="J12" s="34"/>
      <c r="K12" s="34"/>
    </row>
    <row r="13" spans="1:11" x14ac:dyDescent="0.35">
      <c r="A13" s="32">
        <f>[6]InteractionDiagram!A13</f>
        <v>1151.6313558884792</v>
      </c>
      <c r="B13" s="32">
        <f>[6]InteractionDiagram!B13</f>
        <v>-841.96114658409033</v>
      </c>
      <c r="C13" s="32">
        <f>[6]InteractionDiagram!C13</f>
        <v>1</v>
      </c>
      <c r="D13" s="32">
        <f>[6]InteractionDiagram!D13</f>
        <v>80.587523784520513</v>
      </c>
      <c r="E13" s="32">
        <f>[6]InteractionDiagram!E13</f>
        <v>5686800208.1651907</v>
      </c>
      <c r="G13" s="32"/>
      <c r="H13" s="32"/>
      <c r="I13" s="33"/>
      <c r="J13" s="34"/>
      <c r="K13" s="34"/>
    </row>
    <row r="14" spans="1:11" x14ac:dyDescent="0.35">
      <c r="A14" s="32">
        <f>[6]InteractionDiagram!A14</f>
        <v>1693.2008447142966</v>
      </c>
      <c r="B14" s="32">
        <f>[6]InteractionDiagram!B14</f>
        <v>-1036.2841989083827</v>
      </c>
      <c r="C14" s="32">
        <f>[6]InteractionDiagram!C14</f>
        <v>1</v>
      </c>
      <c r="D14" s="32">
        <f>[6]InteractionDiagram!D14</f>
        <v>107.45003171266069</v>
      </c>
      <c r="E14" s="32">
        <f>[6]InteractionDiagram!E14</f>
        <v>5898012542.7099934</v>
      </c>
      <c r="G14" s="32"/>
      <c r="H14" s="32"/>
      <c r="I14" s="33"/>
      <c r="J14" s="34"/>
      <c r="K14" s="34"/>
    </row>
    <row r="15" spans="1:11" x14ac:dyDescent="0.35">
      <c r="A15" s="32">
        <f>[6]InteractionDiagram!A15</f>
        <v>2123.3047277674709</v>
      </c>
      <c r="B15" s="32">
        <f>[6]InteractionDiagram!B15</f>
        <v>-1177.4968801455589</v>
      </c>
      <c r="C15" s="32">
        <f>[6]InteractionDiagram!C15</f>
        <v>1</v>
      </c>
      <c r="D15" s="32">
        <f>[6]InteractionDiagram!D15</f>
        <v>134.31253964080085</v>
      </c>
      <c r="E15" s="32">
        <f>[6]InteractionDiagram!E15</f>
        <v>6094761303.6541061</v>
      </c>
      <c r="G15" s="32"/>
      <c r="H15" s="32"/>
      <c r="I15" s="33"/>
      <c r="J15" s="34"/>
      <c r="K15" s="34"/>
    </row>
    <row r="16" spans="1:11" x14ac:dyDescent="0.35">
      <c r="A16" s="32">
        <f>[6]InteractionDiagram!A16</f>
        <v>2553.4086108206448</v>
      </c>
      <c r="B16" s="32">
        <f>[6]InteractionDiagram!B16</f>
        <v>-1308.513448518087</v>
      </c>
      <c r="C16" s="32">
        <f>[6]InteractionDiagram!C16</f>
        <v>1</v>
      </c>
      <c r="D16" s="32">
        <f>[6]InteractionDiagram!D16</f>
        <v>161.17504756894101</v>
      </c>
      <c r="E16" s="32">
        <f>[6]InteractionDiagram!E16</f>
        <v>6310608565.8957109</v>
      </c>
      <c r="G16" s="32"/>
      <c r="H16" s="32"/>
      <c r="I16" s="33"/>
      <c r="J16" s="34"/>
      <c r="K16" s="34"/>
    </row>
    <row r="17" spans="1:11" x14ac:dyDescent="0.35">
      <c r="A17" s="32">
        <f>[6]InteractionDiagram!A17</f>
        <v>2983.5124938738181</v>
      </c>
      <c r="B17" s="32">
        <f>[6]InteractionDiagram!B17</f>
        <v>-1429.3339040259671</v>
      </c>
      <c r="C17" s="32">
        <f>[6]InteractionDiagram!C17</f>
        <v>1</v>
      </c>
      <c r="D17" s="32">
        <f>[6]InteractionDiagram!D17</f>
        <v>188.03755549708117</v>
      </c>
      <c r="E17" s="32">
        <f>[6]InteractionDiagram!E17</f>
        <v>6566700357.092577</v>
      </c>
      <c r="G17" s="32"/>
      <c r="H17" s="32"/>
      <c r="I17" s="33"/>
      <c r="J17" s="34"/>
      <c r="K17" s="34"/>
    </row>
    <row r="18" spans="1:11" x14ac:dyDescent="0.35">
      <c r="A18" s="32">
        <f>[6]InteractionDiagram!A18</f>
        <v>3413.616376926992</v>
      </c>
      <c r="B18" s="32">
        <f>[6]InteractionDiagram!B18</f>
        <v>-1539.9582466691991</v>
      </c>
      <c r="C18" s="32">
        <f>[6]InteractionDiagram!C18</f>
        <v>1</v>
      </c>
      <c r="D18" s="32">
        <f>[6]InteractionDiagram!D18</f>
        <v>214.90006342522133</v>
      </c>
      <c r="E18" s="32">
        <f>[6]InteractionDiagram!E18</f>
        <v>6878910446.9439354</v>
      </c>
      <c r="G18" s="32"/>
      <c r="H18" s="32"/>
      <c r="I18" s="33"/>
      <c r="J18" s="34"/>
      <c r="K18" s="34"/>
    </row>
    <row r="19" spans="1:11" x14ac:dyDescent="0.35">
      <c r="A19" s="32">
        <f>[6]InteractionDiagram!A19</f>
        <v>3843.7202599801653</v>
      </c>
      <c r="B19" s="32">
        <f>[6]InteractionDiagram!B19</f>
        <v>-1640.386476447783</v>
      </c>
      <c r="C19" s="32">
        <f>[6]InteractionDiagram!C19</f>
        <v>1</v>
      </c>
      <c r="D19" s="32">
        <f>[6]InteractionDiagram!D19</f>
        <v>241.76257135336149</v>
      </c>
      <c r="E19" s="32">
        <f>[6]InteractionDiagram!E19</f>
        <v>7260560782.7352438</v>
      </c>
      <c r="G19" s="32"/>
      <c r="H19" s="32"/>
      <c r="I19" s="33"/>
      <c r="J19" s="34"/>
      <c r="K19" s="34"/>
    </row>
    <row r="20" spans="1:11" x14ac:dyDescent="0.35">
      <c r="A20" s="32">
        <f>[6]InteractionDiagram!A20</f>
        <v>4273.8241430333392</v>
      </c>
      <c r="B20" s="32">
        <f>[6]InteractionDiagram!B20</f>
        <v>-1730.6185933617189</v>
      </c>
      <c r="C20" s="32">
        <f>[6]InteractionDiagram!C20</f>
        <v>1</v>
      </c>
      <c r="D20" s="32">
        <f>[6]InteractionDiagram!D20</f>
        <v>268.62507928150166</v>
      </c>
      <c r="E20" s="32">
        <f>[6]InteractionDiagram!E20</f>
        <v>7723615034.1361208</v>
      </c>
      <c r="G20" s="32"/>
      <c r="H20" s="32"/>
      <c r="I20" s="33"/>
      <c r="J20" s="34"/>
      <c r="K20" s="34"/>
    </row>
    <row r="21" spans="1:11" x14ac:dyDescent="0.35">
      <c r="A21" s="32">
        <f>[6]InteractionDiagram!A21</f>
        <v>4703.9280260865144</v>
      </c>
      <c r="B21" s="32">
        <f>[6]InteractionDiagram!B21</f>
        <v>-1810.654597411007</v>
      </c>
      <c r="C21" s="32">
        <f>[6]InteractionDiagram!C21</f>
        <v>1</v>
      </c>
      <c r="D21" s="32">
        <f>[6]InteractionDiagram!D21</f>
        <v>295.48758720964184</v>
      </c>
      <c r="E21" s="32">
        <f>[6]InteractionDiagram!E21</f>
        <v>8279259545.3437481</v>
      </c>
      <c r="G21" s="32"/>
      <c r="H21" s="32"/>
      <c r="I21" s="33"/>
      <c r="J21" s="34"/>
      <c r="K21" s="34"/>
    </row>
    <row r="22" spans="1:11" x14ac:dyDescent="0.35">
      <c r="A22" s="32">
        <f>[6]InteractionDiagram!A22</f>
        <v>5134.0319091396877</v>
      </c>
      <c r="B22" s="32">
        <f>[6]InteractionDiagram!B22</f>
        <v>-1880.4944885956463</v>
      </c>
      <c r="C22" s="32">
        <f>[6]InteractionDiagram!C22</f>
        <v>1</v>
      </c>
      <c r="D22" s="32">
        <f>[6]InteractionDiagram!D22</f>
        <v>322.35009513778203</v>
      </c>
      <c r="E22" s="32">
        <f>[6]InteractionDiagram!E22</f>
        <v>8938209607.5049629</v>
      </c>
      <c r="G22" s="32"/>
      <c r="H22" s="32"/>
      <c r="I22" s="33"/>
      <c r="J22" s="34"/>
      <c r="K22" s="34"/>
    </row>
    <row r="23" spans="1:11" x14ac:dyDescent="0.35">
      <c r="A23" s="32">
        <f>[6]InteractionDiagram!A23</f>
        <v>5564.135792192862</v>
      </c>
      <c r="B23" s="32">
        <f>[6]InteractionDiagram!B23</f>
        <v>-1940.1382669156383</v>
      </c>
      <c r="C23" s="32">
        <f>[6]InteractionDiagram!C23</f>
        <v>1</v>
      </c>
      <c r="D23" s="32">
        <f>[6]InteractionDiagram!D23</f>
        <v>349.21260306592222</v>
      </c>
      <c r="E23" s="32">
        <f>[6]InteractionDiagram!E23</f>
        <v>9710881500.2222729</v>
      </c>
      <c r="G23" s="32"/>
      <c r="H23" s="32"/>
      <c r="I23" s="33"/>
      <c r="J23" s="34"/>
      <c r="K23" s="34"/>
    </row>
    <row r="24" spans="1:11" x14ac:dyDescent="0.35">
      <c r="A24" s="32">
        <f>[6]InteractionDiagram!A24</f>
        <v>5994.2396752460354</v>
      </c>
      <c r="B24" s="32">
        <f>[6]InteractionDiagram!B24</f>
        <v>-1989.5859323709819</v>
      </c>
      <c r="C24" s="32">
        <f>[6]InteractionDiagram!C24</f>
        <v>1</v>
      </c>
      <c r="D24" s="32">
        <f>[6]InteractionDiagram!D24</f>
        <v>376.07511099406241</v>
      </c>
      <c r="E24" s="32">
        <f>[6]InteractionDiagram!E24</f>
        <v>10607494264.708675</v>
      </c>
      <c r="G24" s="32"/>
      <c r="H24" s="32"/>
      <c r="I24" s="33"/>
      <c r="J24" s="34"/>
      <c r="K24" s="34"/>
    </row>
    <row r="25" spans="1:11" x14ac:dyDescent="0.35">
      <c r="A25" s="32">
        <f>[6]InteractionDiagram!A25</f>
        <v>6424.3435582992097</v>
      </c>
      <c r="B25" s="32">
        <f>[6]InteractionDiagram!B25</f>
        <v>-2028.8374849616773</v>
      </c>
      <c r="C25" s="32">
        <f>[6]InteractionDiagram!C25</f>
        <v>1</v>
      </c>
      <c r="D25" s="32">
        <f>[6]InteractionDiagram!D25</f>
        <v>402.9376189222026</v>
      </c>
      <c r="E25" s="32">
        <f>[6]InteractionDiagram!E25</f>
        <v>11638132558.19965</v>
      </c>
      <c r="G25" s="32"/>
      <c r="H25" s="32"/>
      <c r="I25" s="33"/>
      <c r="J25" s="34"/>
      <c r="K25" s="34"/>
    </row>
    <row r="26" spans="1:11" x14ac:dyDescent="0.35">
      <c r="A26" s="32">
        <f>[6]InteractionDiagram!A26</f>
        <v>6854.447441352384</v>
      </c>
      <c r="B26" s="32">
        <f>[6]InteractionDiagram!B26</f>
        <v>-2057.8929246877251</v>
      </c>
      <c r="C26" s="32">
        <f>[6]InteractionDiagram!C26</f>
        <v>1</v>
      </c>
      <c r="D26" s="32">
        <f>[6]InteractionDiagram!D26</f>
        <v>429.80012685034279</v>
      </c>
      <c r="E26" s="32">
        <f>[6]InteractionDiagram!E26</f>
        <v>12812786912.545212</v>
      </c>
      <c r="G26" s="32"/>
      <c r="H26" s="32"/>
      <c r="I26" s="33"/>
      <c r="J26" s="34"/>
      <c r="K26" s="34"/>
    </row>
    <row r="27" spans="1:11" x14ac:dyDescent="0.35">
      <c r="A27" s="32">
        <f>[6]InteractionDiagram!A27</f>
        <v>7284.5513244055583</v>
      </c>
      <c r="B27" s="32">
        <f>[6]InteractionDiagram!B27</f>
        <v>-2076.7522515491237</v>
      </c>
      <c r="C27" s="32">
        <f>[6]InteractionDiagram!C27</f>
        <v>1</v>
      </c>
      <c r="D27" s="32">
        <f>[6]InteractionDiagram!D27</f>
        <v>456.66263477848298</v>
      </c>
      <c r="E27" s="32">
        <f>[6]InteractionDiagram!E27</f>
        <v>14141380338.183521</v>
      </c>
      <c r="G27" s="32"/>
      <c r="H27" s="32"/>
      <c r="I27" s="33"/>
      <c r="J27" s="34"/>
      <c r="K27" s="34"/>
    </row>
    <row r="28" spans="1:11" x14ac:dyDescent="0.35">
      <c r="A28" s="32">
        <f>[6]InteractionDiagram!A28</f>
        <v>7714.6552074587325</v>
      </c>
      <c r="B28" s="32">
        <f>[6]InteractionDiagram!B28</f>
        <v>-2085.4154655458751</v>
      </c>
      <c r="C28" s="32">
        <f>[6]InteractionDiagram!C28</f>
        <v>1</v>
      </c>
      <c r="D28" s="32">
        <f>[6]InteractionDiagram!D28</f>
        <v>483.52514270662317</v>
      </c>
      <c r="E28" s="32">
        <f>[6]InteractionDiagram!E28</f>
        <v>15633786387.558254</v>
      </c>
      <c r="G28" s="32"/>
      <c r="H28" s="32"/>
      <c r="I28" s="33"/>
      <c r="J28" s="34"/>
      <c r="K28" s="34"/>
    </row>
    <row r="29" spans="1:11" x14ac:dyDescent="0.35">
      <c r="A29" s="32">
        <f>[6]InteractionDiagram!A29</f>
        <v>8144.7590905119068</v>
      </c>
      <c r="B29" s="32">
        <f>[6]InteractionDiagram!B29</f>
        <v>-2083.8825666779785</v>
      </c>
      <c r="C29" s="32">
        <f>[6]InteractionDiagram!C29</f>
        <v>1</v>
      </c>
      <c r="D29" s="32">
        <f>[6]InteractionDiagram!D29</f>
        <v>510.38765063476336</v>
      </c>
      <c r="E29" s="32">
        <f>[6]InteractionDiagram!E29</f>
        <v>17299841714.22113</v>
      </c>
      <c r="G29" s="32"/>
      <c r="H29" s="32"/>
      <c r="I29" s="33"/>
      <c r="J29" s="34"/>
      <c r="K29" s="34"/>
    </row>
    <row r="30" spans="1:11" x14ac:dyDescent="0.35">
      <c r="A30" s="32">
        <f>[6]InteractionDiagram!A30</f>
        <v>8581.1175037956873</v>
      </c>
      <c r="B30" s="32">
        <f>[6]InteractionDiagram!B30</f>
        <v>-2069.9019240624152</v>
      </c>
      <c r="C30" s="32">
        <f>[6]InteractionDiagram!C30</f>
        <v>1</v>
      </c>
      <c r="D30" s="32">
        <f>[6]InteractionDiagram!D30</f>
        <v>537.25015856290349</v>
      </c>
      <c r="E30" s="32">
        <f>[6]InteractionDiagram!E30</f>
        <v>19149354989.87286</v>
      </c>
      <c r="G30" s="32"/>
      <c r="H30" s="32"/>
      <c r="I30" s="33"/>
      <c r="J30" s="34"/>
      <c r="K30" s="34"/>
    </row>
    <row r="31" spans="1:11" x14ac:dyDescent="0.35">
      <c r="A31" s="32">
        <f>[6]InteractionDiagram!A31</f>
        <v>9085.2092663616768</v>
      </c>
      <c r="B31" s="32">
        <f>[6]InteractionDiagram!B31</f>
        <v>-2021.3411628406088</v>
      </c>
      <c r="C31" s="32">
        <f>[6]InteractionDiagram!C31</f>
        <v>1</v>
      </c>
      <c r="D31" s="32">
        <f>[6]InteractionDiagram!D31</f>
        <v>564.11266649104368</v>
      </c>
      <c r="E31" s="32">
        <f>[6]InteractionDiagram!E31</f>
        <v>21192113354.737335</v>
      </c>
      <c r="G31" s="32"/>
      <c r="H31" s="32"/>
      <c r="I31" s="33"/>
      <c r="J31" s="34"/>
      <c r="K31" s="34"/>
    </row>
    <row r="32" spans="1:11" x14ac:dyDescent="0.35">
      <c r="A32" s="32">
        <f>[6]InteractionDiagram!A32</f>
        <v>9582.574858062866</v>
      </c>
      <c r="B32" s="32">
        <f>[6]InteractionDiagram!B32</f>
        <v>-1965.0057102654819</v>
      </c>
      <c r="C32" s="32">
        <f>[6]InteractionDiagram!C32</f>
        <v>1</v>
      </c>
      <c r="D32" s="32">
        <f>[6]InteractionDiagram!D32</f>
        <v>590.97517441918387</v>
      </c>
      <c r="E32" s="32">
        <f>[6]InteractionDiagram!E32</f>
        <v>23437887162.247135</v>
      </c>
      <c r="G32" s="32"/>
      <c r="H32" s="32"/>
      <c r="I32" s="33"/>
      <c r="J32" s="34"/>
      <c r="K32" s="34"/>
    </row>
    <row r="33" spans="1:11" x14ac:dyDescent="0.35">
      <c r="A33" s="32">
        <f>[6]InteractionDiagram!A33</f>
        <v>10074.091605533793</v>
      </c>
      <c r="B33" s="32">
        <f>[6]InteractionDiagram!B33</f>
        <v>-1900.5797287486012</v>
      </c>
      <c r="C33" s="32">
        <f>[6]InteractionDiagram!C33</f>
        <v>1</v>
      </c>
      <c r="D33" s="32">
        <f>[6]InteractionDiagram!D33</f>
        <v>617.83768234732406</v>
      </c>
      <c r="E33" s="32">
        <f>[6]InteractionDiagram!E33</f>
        <v>25896433522.040817</v>
      </c>
      <c r="G33" s="32"/>
      <c r="H33" s="32"/>
      <c r="I33" s="33"/>
      <c r="J33" s="34"/>
      <c r="K33" s="34"/>
    </row>
    <row r="34" spans="1:11" x14ac:dyDescent="0.35">
      <c r="A34" s="32">
        <f>[6]InteractionDiagram!A34</f>
        <v>10560.49061430324</v>
      </c>
      <c r="B34" s="32">
        <f>[6]InteractionDiagram!B34</f>
        <v>-1827.8000202996052</v>
      </c>
      <c r="C34" s="32">
        <f>[6]InteractionDiagram!C34</f>
        <v>1</v>
      </c>
      <c r="D34" s="32">
        <f>[6]InteractionDiagram!D34</f>
        <v>644.70019027546425</v>
      </c>
      <c r="E34" s="32">
        <f>[6]InteractionDiagram!E34</f>
        <v>28577498981.967964</v>
      </c>
      <c r="G34" s="32"/>
      <c r="H34" s="32"/>
      <c r="I34" s="33"/>
      <c r="J34" s="34"/>
      <c r="K34" s="34"/>
    </row>
    <row r="35" spans="1:11" x14ac:dyDescent="0.35">
      <c r="A35" s="32">
        <f>[6]InteractionDiagram!A35</f>
        <v>11042.386013015392</v>
      </c>
      <c r="B35" s="32">
        <f>[6]InteractionDiagram!B35</f>
        <v>-1746.4454986065891</v>
      </c>
      <c r="C35" s="32">
        <f>[6]InteractionDiagram!C35</f>
        <v>1</v>
      </c>
      <c r="D35" s="32">
        <f>[6]InteractionDiagram!D35</f>
        <v>671.56269820360444</v>
      </c>
      <c r="E35" s="32">
        <f>[6]InteractionDiagram!E35</f>
        <v>31490821583.703911</v>
      </c>
      <c r="G35" s="32"/>
      <c r="H35" s="32"/>
      <c r="I35" s="33"/>
      <c r="J35" s="34"/>
      <c r="K35" s="34"/>
    </row>
    <row r="36" spans="1:11" x14ac:dyDescent="0.35">
      <c r="A36" s="32">
        <f>[6]InteractionDiagram!A36</f>
        <v>11520.29744898454</v>
      </c>
      <c r="B36" s="32">
        <f>[6]InteractionDiagram!B36</f>
        <v>-1656.3290906364036</v>
      </c>
      <c r="C36" s="32">
        <f>[6]InteractionDiagram!C36</f>
        <v>1</v>
      </c>
      <c r="D36" s="32">
        <f>[6]InteractionDiagram!D36</f>
        <v>698.42520613174463</v>
      </c>
      <c r="E36" s="32">
        <f>[6]InteractionDiagram!E36</f>
        <v>34646132456.257072</v>
      </c>
      <c r="G36" s="32"/>
      <c r="H36" s="32"/>
      <c r="I36" s="33"/>
      <c r="J36" s="34"/>
      <c r="K36" s="34"/>
    </row>
    <row r="37" spans="1:11" x14ac:dyDescent="0.35">
      <c r="A37" s="32">
        <f>[6]InteractionDiagram!A37</f>
        <v>11994.667584737694</v>
      </c>
      <c r="B37" s="32">
        <f>[6]InteractionDiagram!B37</f>
        <v>-1557.2914378793298</v>
      </c>
      <c r="C37" s="32">
        <f>[6]InteractionDiagram!C37</f>
        <v>1</v>
      </c>
      <c r="D37" s="32">
        <f>[6]InteractionDiagram!D37</f>
        <v>725.28771405988482</v>
      </c>
      <c r="E37" s="32">
        <f>[6]InteractionDiagram!E37</f>
        <v>38053157064.189041</v>
      </c>
      <c r="G37" s="32"/>
      <c r="H37" s="32"/>
      <c r="I37" s="33"/>
      <c r="J37" s="34"/>
      <c r="K37" s="34"/>
    </row>
    <row r="38" spans="1:11" x14ac:dyDescent="0.35">
      <c r="A38" s="32">
        <f>[6]InteractionDiagram!A38</f>
        <v>12465.875845297993</v>
      </c>
      <c r="B38" s="32">
        <f>[6]InteractionDiagram!B38</f>
        <v>-1449.1959473270354</v>
      </c>
      <c r="C38" s="32">
        <f>[6]InteractionDiagram!C38</f>
        <v>1</v>
      </c>
      <c r="D38" s="32">
        <f>[6]InteractionDiagram!D38</f>
        <v>752.15022198802501</v>
      </c>
      <c r="E38" s="32">
        <f>[6]InteractionDiagram!E38</f>
        <v>41721616194.792488</v>
      </c>
      <c r="G38" s="32"/>
      <c r="H38" s="32"/>
      <c r="I38" s="33"/>
      <c r="J38" s="34"/>
      <c r="K38" s="34"/>
    </row>
    <row r="39" spans="1:11" x14ac:dyDescent="0.35">
      <c r="A39" s="32">
        <f>[6]InteractionDiagram!A39</f>
        <v>12934.249321202626</v>
      </c>
      <c r="B39" s="32">
        <f>[6]InteractionDiagram!B39</f>
        <v>-1331.9248663861324</v>
      </c>
      <c r="C39" s="32">
        <f>[6]InteractionDiagram!C39</f>
        <v>1</v>
      </c>
      <c r="D39" s="32">
        <f>[6]InteractionDiagram!D39</f>
        <v>779.0127299161652</v>
      </c>
      <c r="E39" s="32">
        <f>[6]InteractionDiagram!E39</f>
        <v>45661226745.772766</v>
      </c>
      <c r="G39" s="32"/>
      <c r="H39" s="32"/>
      <c r="I39" s="33"/>
      <c r="J39" s="34"/>
      <c r="K39" s="34"/>
    </row>
    <row r="40" spans="1:11" x14ac:dyDescent="0.35">
      <c r="A40" s="32">
        <f>[6]InteractionDiagram!A40</f>
        <v>13400.071500000002</v>
      </c>
      <c r="B40" s="32">
        <f>[6]InteractionDiagram!B40</f>
        <v>-1205.3761428095052</v>
      </c>
      <c r="C40" s="32">
        <f>[6]InteractionDiagram!C40</f>
        <v>1</v>
      </c>
      <c r="D40" s="32">
        <f>[6]InteractionDiagram!D40</f>
        <v>805.87523784420512</v>
      </c>
      <c r="E40" s="32">
        <f>[6]InteractionDiagram!E40</f>
        <v>48956101301.635849</v>
      </c>
      <c r="G40" s="32"/>
      <c r="H40" s="32"/>
      <c r="I40" s="33"/>
      <c r="J40" s="34"/>
      <c r="K40" s="34"/>
    </row>
    <row r="41" spans="1:11" x14ac:dyDescent="0.35">
      <c r="A41" s="32">
        <v>13400.071500000002</v>
      </c>
      <c r="B41" s="32">
        <v>0</v>
      </c>
      <c r="C41" s="33">
        <v>1</v>
      </c>
      <c r="D41" s="34"/>
      <c r="E41" s="34"/>
      <c r="G41" s="32"/>
      <c r="H41" s="32"/>
      <c r="I41" s="33"/>
      <c r="J41" s="34"/>
      <c r="K41" s="34"/>
    </row>
    <row r="42" spans="1:11" x14ac:dyDescent="0.35">
      <c r="A42" s="32"/>
      <c r="B42" s="32"/>
      <c r="C42" s="33"/>
      <c r="D42" s="34"/>
      <c r="E42" s="34"/>
      <c r="G42" s="32"/>
      <c r="H42" s="32"/>
      <c r="I42" s="33"/>
      <c r="J42" s="34"/>
      <c r="K42" s="34"/>
    </row>
    <row r="43" spans="1:11" x14ac:dyDescent="0.35">
      <c r="A43" s="32">
        <v>-1200</v>
      </c>
      <c r="B43" s="32">
        <v>12.750000000789226</v>
      </c>
      <c r="C43" s="33">
        <v>1</v>
      </c>
      <c r="D43" s="34">
        <v>1E-10</v>
      </c>
      <c r="E43" s="34">
        <v>2780368635.0895147</v>
      </c>
      <c r="G43" s="32"/>
      <c r="H43" s="32"/>
      <c r="I43" s="33"/>
      <c r="J43" s="34"/>
      <c r="K43" s="34"/>
    </row>
    <row r="44" spans="1:11" x14ac:dyDescent="0.35">
      <c r="A44" s="32">
        <v>-588.89319285512545</v>
      </c>
      <c r="B44" s="32">
        <v>195.15960147340269</v>
      </c>
      <c r="C44" s="33">
        <v>1</v>
      </c>
      <c r="D44" s="34">
        <v>26.925146414855021</v>
      </c>
      <c r="E44" s="34">
        <v>5082577519.6596155</v>
      </c>
      <c r="G44" s="32"/>
      <c r="H44" s="32"/>
      <c r="I44" s="33"/>
      <c r="J44" s="34"/>
      <c r="K44" s="34"/>
    </row>
    <row r="45" spans="1:11" x14ac:dyDescent="0.35">
      <c r="A45" s="32">
        <v>-60.173976605297412</v>
      </c>
      <c r="B45" s="32">
        <v>402.46595095530915</v>
      </c>
      <c r="C45" s="33">
        <v>1</v>
      </c>
      <c r="D45" s="34">
        <v>53.850292829610041</v>
      </c>
      <c r="E45" s="34">
        <v>5717861459.34023</v>
      </c>
      <c r="G45" s="32"/>
      <c r="H45" s="32"/>
      <c r="I45" s="33"/>
      <c r="J45" s="34"/>
      <c r="K45" s="34"/>
    </row>
    <row r="46" spans="1:11" x14ac:dyDescent="0.35">
      <c r="A46" s="32">
        <v>858.39536083518749</v>
      </c>
      <c r="B46" s="32">
        <v>739.87462479669284</v>
      </c>
      <c r="C46" s="33">
        <v>1</v>
      </c>
      <c r="D46" s="34">
        <v>80.77543924436506</v>
      </c>
      <c r="E46" s="34">
        <v>6039108581.9855003</v>
      </c>
      <c r="G46" s="32"/>
      <c r="H46" s="32"/>
      <c r="I46" s="33"/>
      <c r="J46" s="34"/>
      <c r="K46" s="34"/>
    </row>
    <row r="47" spans="1:11" x14ac:dyDescent="0.35">
      <c r="A47" s="32">
        <v>1506.0187456272934</v>
      </c>
      <c r="B47" s="32">
        <v>969.49903641550031</v>
      </c>
      <c r="C47" s="33">
        <v>1</v>
      </c>
      <c r="D47" s="34">
        <v>107.70058565912008</v>
      </c>
      <c r="E47" s="34">
        <v>6267669636.5536213</v>
      </c>
      <c r="G47" s="32"/>
      <c r="H47" s="32"/>
      <c r="I47" s="33"/>
      <c r="J47" s="34"/>
      <c r="K47" s="34"/>
    </row>
    <row r="48" spans="1:11" x14ac:dyDescent="0.35">
      <c r="A48" s="32">
        <v>2083.3643118599384</v>
      </c>
      <c r="B48" s="32">
        <v>1163.5797140837428</v>
      </c>
      <c r="C48" s="33">
        <v>1</v>
      </c>
      <c r="D48" s="34">
        <v>134.6257320738751</v>
      </c>
      <c r="E48" s="34">
        <v>6476071681.5262566</v>
      </c>
      <c r="G48" s="32"/>
      <c r="H48" s="32"/>
      <c r="I48" s="33"/>
      <c r="J48" s="34"/>
      <c r="K48" s="34"/>
    </row>
    <row r="49" spans="1:11" x14ac:dyDescent="0.35">
      <c r="A49" s="32">
        <v>2559.4261553612419</v>
      </c>
      <c r="B49" s="32">
        <v>1310.9545322995427</v>
      </c>
      <c r="C49" s="33">
        <v>1</v>
      </c>
      <c r="D49" s="34">
        <v>161.55087848863013</v>
      </c>
      <c r="E49" s="34">
        <v>6700626985.8188295</v>
      </c>
      <c r="G49" s="32"/>
      <c r="H49" s="32"/>
      <c r="I49" s="33"/>
      <c r="J49" s="34"/>
      <c r="K49" s="34"/>
    </row>
    <row r="50" spans="1:11" x14ac:dyDescent="0.35">
      <c r="A50" s="32">
        <v>2990.5329625045156</v>
      </c>
      <c r="B50" s="32">
        <v>1431.9018181572926</v>
      </c>
      <c r="C50" s="33">
        <v>1</v>
      </c>
      <c r="D50" s="34">
        <v>188.47602490338517</v>
      </c>
      <c r="E50" s="34">
        <v>6963833723.6380196</v>
      </c>
      <c r="G50" s="32"/>
      <c r="H50" s="32"/>
      <c r="I50" s="33"/>
      <c r="J50" s="34"/>
      <c r="K50" s="34"/>
    </row>
    <row r="51" spans="1:11" x14ac:dyDescent="0.35">
      <c r="A51" s="32">
        <v>3421.6397696477893</v>
      </c>
      <c r="B51" s="32">
        <v>1542.6053847458829</v>
      </c>
      <c r="C51" s="33">
        <v>1</v>
      </c>
      <c r="D51" s="34">
        <v>215.4011713181402</v>
      </c>
      <c r="E51" s="34">
        <v>7282325623.4010477</v>
      </c>
      <c r="G51" s="32"/>
      <c r="H51" s="32"/>
      <c r="I51" s="33"/>
      <c r="J51" s="34"/>
      <c r="K51" s="34"/>
    </row>
    <row r="52" spans="1:11" x14ac:dyDescent="0.35">
      <c r="A52" s="32">
        <v>3852.7465767910635</v>
      </c>
      <c r="B52" s="32">
        <v>1643.0652320653146</v>
      </c>
      <c r="C52" s="33">
        <v>1</v>
      </c>
      <c r="D52" s="34">
        <v>242.32631773289523</v>
      </c>
      <c r="E52" s="34">
        <v>7669898468.0605984</v>
      </c>
      <c r="G52" s="32"/>
      <c r="H52" s="32"/>
      <c r="I52" s="33"/>
      <c r="J52" s="34"/>
      <c r="K52" s="34"/>
    </row>
    <row r="53" spans="1:11" x14ac:dyDescent="0.35">
      <c r="A53" s="32">
        <v>4283.8533839343372</v>
      </c>
      <c r="B53" s="32">
        <v>1733.281360115586</v>
      </c>
      <c r="C53" s="33">
        <v>1</v>
      </c>
      <c r="D53" s="34">
        <v>269.25146414765027</v>
      </c>
      <c r="E53" s="34">
        <v>8138837665.4706345</v>
      </c>
      <c r="G53" s="32"/>
      <c r="H53" s="32"/>
      <c r="I53" s="33"/>
      <c r="J53" s="34"/>
      <c r="K53" s="34"/>
    </row>
    <row r="54" spans="1:11" x14ac:dyDescent="0.35">
      <c r="A54" s="32">
        <v>4714.96019107761</v>
      </c>
      <c r="B54" s="32">
        <v>1813.2537688966979</v>
      </c>
      <c r="C54" s="33">
        <v>1</v>
      </c>
      <c r="D54" s="34">
        <v>296.1766105624053</v>
      </c>
      <c r="E54" s="34">
        <v>8700564343.2356739</v>
      </c>
      <c r="G54" s="32"/>
      <c r="H54" s="32"/>
      <c r="I54" s="33"/>
      <c r="J54" s="34"/>
      <c r="K54" s="34"/>
    </row>
    <row r="55" spans="1:11" x14ac:dyDescent="0.35">
      <c r="A55" s="32">
        <v>5146.0669982208838</v>
      </c>
      <c r="B55" s="32">
        <v>1882.9824584086512</v>
      </c>
      <c r="C55" s="33">
        <v>1</v>
      </c>
      <c r="D55" s="34">
        <v>323.10175697716033</v>
      </c>
      <c r="E55" s="34">
        <v>9365975925.0938282</v>
      </c>
      <c r="G55" s="32"/>
      <c r="H55" s="32"/>
      <c r="I55" s="33"/>
      <c r="J55" s="34"/>
      <c r="K55" s="34"/>
    </row>
    <row r="56" spans="1:11" x14ac:dyDescent="0.35">
      <c r="A56" s="32">
        <v>5577.1738053641575</v>
      </c>
      <c r="B56" s="32">
        <v>1942.4674286514444</v>
      </c>
      <c r="C56" s="33">
        <v>1</v>
      </c>
      <c r="D56" s="34">
        <v>350.02690339191537</v>
      </c>
      <c r="E56" s="34">
        <v>10145637424.379301</v>
      </c>
      <c r="G56" s="32"/>
      <c r="H56" s="32"/>
      <c r="I56" s="33"/>
      <c r="J56" s="34"/>
      <c r="K56" s="34"/>
    </row>
    <row r="57" spans="1:11" x14ac:dyDescent="0.35">
      <c r="A57" s="32">
        <v>6008.2806125074312</v>
      </c>
      <c r="B57" s="32">
        <v>1991.7086796250785</v>
      </c>
      <c r="C57" s="33">
        <v>1</v>
      </c>
      <c r="D57" s="34">
        <v>376.9520498066704</v>
      </c>
      <c r="E57" s="34">
        <v>11049894597.356411</v>
      </c>
      <c r="G57" s="32"/>
      <c r="H57" s="32"/>
      <c r="I57" s="33"/>
      <c r="J57" s="34"/>
      <c r="K57" s="34"/>
    </row>
    <row r="58" spans="1:11" x14ac:dyDescent="0.35">
      <c r="A58" s="32">
        <v>6439.3874196507049</v>
      </c>
      <c r="B58" s="32">
        <v>2030.7062113295533</v>
      </c>
      <c r="C58" s="33">
        <v>1</v>
      </c>
      <c r="D58" s="34">
        <v>403.87719622142544</v>
      </c>
      <c r="E58" s="34">
        <v>12088943821.525253</v>
      </c>
      <c r="G58" s="32"/>
      <c r="H58" s="32"/>
      <c r="I58" s="33"/>
      <c r="J58" s="34"/>
      <c r="K58" s="34"/>
    </row>
    <row r="59" spans="1:11" x14ac:dyDescent="0.35">
      <c r="A59" s="32">
        <v>6870.4942267939778</v>
      </c>
      <c r="B59" s="32">
        <v>2059.4600237648683</v>
      </c>
      <c r="C59" s="33">
        <v>1</v>
      </c>
      <c r="D59" s="34">
        <v>430.80234263618047</v>
      </c>
      <c r="E59" s="34">
        <v>13272876850.63917</v>
      </c>
      <c r="G59" s="32"/>
      <c r="H59" s="32"/>
      <c r="I59" s="33"/>
      <c r="J59" s="34"/>
      <c r="K59" s="34"/>
    </row>
    <row r="60" spans="1:11" x14ac:dyDescent="0.35">
      <c r="A60" s="32">
        <v>7301.6010339372524</v>
      </c>
      <c r="B60" s="32">
        <v>2077.9701169310242</v>
      </c>
      <c r="C60" s="33">
        <v>1</v>
      </c>
      <c r="D60" s="34">
        <v>457.7274890509355</v>
      </c>
      <c r="E60" s="34">
        <v>14611710388.660912</v>
      </c>
      <c r="G60" s="32"/>
      <c r="H60" s="32"/>
      <c r="I60" s="33"/>
      <c r="J60" s="34"/>
      <c r="K60" s="34"/>
    </row>
    <row r="61" spans="1:11" x14ac:dyDescent="0.35">
      <c r="A61" s="32">
        <v>7732.7078410805252</v>
      </c>
      <c r="B61" s="32">
        <v>2086.2364908280206</v>
      </c>
      <c r="C61" s="33">
        <v>1</v>
      </c>
      <c r="D61" s="34">
        <v>484.65263546569054</v>
      </c>
      <c r="E61" s="34">
        <v>16115406168.906605</v>
      </c>
      <c r="G61" s="32"/>
      <c r="H61" s="32"/>
      <c r="I61" s="33"/>
      <c r="J61" s="34"/>
      <c r="K61" s="34"/>
    </row>
    <row r="62" spans="1:11" x14ac:dyDescent="0.35">
      <c r="A62" s="32">
        <v>8163.8146482237998</v>
      </c>
      <c r="B62" s="32">
        <v>2084.2591454558578</v>
      </c>
      <c r="C62" s="33">
        <v>1</v>
      </c>
      <c r="D62" s="34">
        <v>511.57778188044557</v>
      </c>
      <c r="E62" s="34">
        <v>17793884914.140377</v>
      </c>
      <c r="G62" s="32"/>
      <c r="H62" s="32"/>
      <c r="I62" s="33"/>
      <c r="J62" s="34"/>
      <c r="K62" s="34"/>
    </row>
    <row r="63" spans="1:11" x14ac:dyDescent="0.35">
      <c r="A63" s="32">
        <v>8594.9214553670736</v>
      </c>
      <c r="B63" s="32">
        <v>2072.0380808145355</v>
      </c>
      <c r="C63" s="33">
        <v>1</v>
      </c>
      <c r="D63" s="34">
        <v>538.5029282952006</v>
      </c>
      <c r="E63" s="34">
        <v>19657036248.014214</v>
      </c>
      <c r="G63" s="32"/>
      <c r="H63" s="32"/>
      <c r="I63" s="33"/>
      <c r="J63" s="34"/>
      <c r="K63" s="34"/>
    </row>
    <row r="64" spans="1:11" x14ac:dyDescent="0.35">
      <c r="A64" s="32">
        <v>9063.2881678631857</v>
      </c>
      <c r="B64" s="32">
        <v>2035.2282333432108</v>
      </c>
      <c r="C64" s="33">
        <v>1</v>
      </c>
      <c r="D64" s="34">
        <v>565.42807470995558</v>
      </c>
      <c r="E64" s="34">
        <v>21714725864.563625</v>
      </c>
      <c r="G64" s="32"/>
      <c r="H64" s="32"/>
      <c r="I64" s="33"/>
      <c r="J64" s="34"/>
      <c r="K64" s="34"/>
    </row>
    <row r="65" spans="1:11" x14ac:dyDescent="0.35">
      <c r="A65" s="32">
        <v>9563.6104338540445</v>
      </c>
      <c r="B65" s="32">
        <v>1975.871778507249</v>
      </c>
      <c r="C65" s="33">
        <v>1</v>
      </c>
      <c r="D65" s="34">
        <v>592.35322112471056</v>
      </c>
      <c r="E65" s="34">
        <v>23976800801.72139</v>
      </c>
      <c r="G65" s="32"/>
      <c r="H65" s="32"/>
      <c r="I65" s="33"/>
      <c r="J65" s="34"/>
      <c r="K65" s="34"/>
    </row>
    <row r="66" spans="1:11" x14ac:dyDescent="0.35">
      <c r="A66" s="32">
        <v>10057.91396429294</v>
      </c>
      <c r="B66" s="32">
        <v>1908.5888175896339</v>
      </c>
      <c r="C66" s="33">
        <v>1</v>
      </c>
      <c r="D66" s="34">
        <v>619.27836753946553</v>
      </c>
      <c r="E66" s="34">
        <v>26453093379.116009</v>
      </c>
      <c r="G66" s="32"/>
      <c r="H66" s="32"/>
      <c r="I66" s="33"/>
      <c r="J66" s="34"/>
      <c r="K66" s="34"/>
    </row>
    <row r="67" spans="1:11" x14ac:dyDescent="0.35">
      <c r="A67" s="32">
        <v>10546.951101123868</v>
      </c>
      <c r="B67" s="32">
        <v>1833.0896989419268</v>
      </c>
      <c r="C67" s="33">
        <v>1</v>
      </c>
      <c r="D67" s="34">
        <v>646.20351395422051</v>
      </c>
      <c r="E67" s="34">
        <v>29153424178.87413</v>
      </c>
      <c r="G67" s="32"/>
      <c r="H67" s="32"/>
      <c r="I67" s="33"/>
      <c r="J67" s="34"/>
      <c r="K67" s="34"/>
    </row>
    <row r="68" spans="1:11" x14ac:dyDescent="0.35">
      <c r="A68" s="32">
        <v>11031.353811579784</v>
      </c>
      <c r="B68" s="32">
        <v>1749.1311151794393</v>
      </c>
      <c r="C68" s="33">
        <v>1</v>
      </c>
      <c r="D68" s="34">
        <v>673.12866036897549</v>
      </c>
      <c r="E68" s="34">
        <v>32087604330.204082</v>
      </c>
      <c r="G68" s="32"/>
      <c r="H68" s="32"/>
      <c r="I68" s="33"/>
      <c r="J68" s="34"/>
      <c r="K68" s="34"/>
    </row>
    <row r="69" spans="1:11" x14ac:dyDescent="0.35">
      <c r="A69" s="32">
        <v>11511.656837165499</v>
      </c>
      <c r="B69" s="32">
        <v>1656.507190822821</v>
      </c>
      <c r="C69" s="33">
        <v>1</v>
      </c>
      <c r="D69" s="34">
        <v>700.05380678373047</v>
      </c>
      <c r="E69" s="34">
        <v>35265437280.368469</v>
      </c>
      <c r="G69" s="32"/>
      <c r="H69" s="32"/>
      <c r="I69" s="33"/>
      <c r="J69" s="34"/>
      <c r="K69" s="34"/>
    </row>
    <row r="70" spans="1:11" x14ac:dyDescent="0.35">
      <c r="A70" s="32">
        <v>11988.315698422144</v>
      </c>
      <c r="B70" s="32">
        <v>1555.0425504637351</v>
      </c>
      <c r="C70" s="33">
        <v>1</v>
      </c>
      <c r="D70" s="34">
        <v>726.97895319848544</v>
      </c>
      <c r="E70" s="34">
        <v>38696720181.893265</v>
      </c>
      <c r="G70" s="32"/>
      <c r="H70" s="32"/>
      <c r="I70" s="33"/>
      <c r="J70" s="34"/>
      <c r="K70" s="34"/>
    </row>
    <row r="71" spans="1:11" x14ac:dyDescent="0.35">
      <c r="A71" s="32">
        <v>12461.720841527833</v>
      </c>
      <c r="B71" s="32">
        <v>1444.5868723236072</v>
      </c>
      <c r="C71" s="33">
        <v>1</v>
      </c>
      <c r="D71" s="34">
        <v>753.90409961324042</v>
      </c>
      <c r="E71" s="34">
        <v>42391244989.651634</v>
      </c>
      <c r="G71" s="32"/>
      <c r="H71" s="32"/>
      <c r="I71" s="33"/>
      <c r="J71" s="34"/>
      <c r="K71" s="34"/>
    </row>
    <row r="72" spans="1:11" x14ac:dyDescent="0.35">
      <c r="A72" s="32">
        <v>12932.208858015427</v>
      </c>
      <c r="B72" s="32">
        <v>1325.0105686622871</v>
      </c>
      <c r="C72" s="33">
        <v>1</v>
      </c>
      <c r="D72" s="34">
        <v>780.8292460279954</v>
      </c>
      <c r="E72" s="34">
        <v>46358799336.228813</v>
      </c>
      <c r="G72" s="32"/>
      <c r="H72" s="32"/>
      <c r="I72" s="33"/>
      <c r="J72" s="34"/>
      <c r="K72" s="34"/>
    </row>
    <row r="73" spans="1:11" x14ac:dyDescent="0.35">
      <c r="A73" s="32">
        <v>13400.071500000002</v>
      </c>
      <c r="B73" s="32">
        <v>1196.2013301054731</v>
      </c>
      <c r="C73" s="33">
        <v>1</v>
      </c>
      <c r="D73" s="34">
        <v>807.75439244265067</v>
      </c>
      <c r="E73" s="34">
        <v>50609167236.125397</v>
      </c>
      <c r="G73" s="32"/>
      <c r="H73" s="32"/>
      <c r="I73" s="33"/>
      <c r="J73" s="34"/>
      <c r="K73" s="34"/>
    </row>
    <row r="74" spans="1:11" x14ac:dyDescent="0.35">
      <c r="A74" s="32">
        <v>13400.071500000002</v>
      </c>
      <c r="B74" s="32">
        <v>0</v>
      </c>
      <c r="C74" s="33">
        <v>1</v>
      </c>
      <c r="D74" s="34"/>
      <c r="E74" s="34"/>
      <c r="G74" s="32"/>
      <c r="H74" s="32"/>
      <c r="I74" s="33"/>
      <c r="J74" s="34"/>
      <c r="K74" s="34"/>
    </row>
    <row r="75" spans="1:11" x14ac:dyDescent="0.35">
      <c r="A75" s="32"/>
      <c r="B75" s="32"/>
      <c r="C75" s="33"/>
      <c r="D75" s="34"/>
      <c r="E75" s="34"/>
      <c r="G75" s="32"/>
      <c r="H75" s="32"/>
      <c r="I75" s="33"/>
      <c r="J75" s="34"/>
      <c r="K75" s="34"/>
    </row>
    <row r="76" spans="1:11" x14ac:dyDescent="0.35">
      <c r="A76" s="32"/>
      <c r="B76" s="32"/>
      <c r="C76" s="33"/>
      <c r="D76" s="34"/>
      <c r="E76" s="34"/>
      <c r="G76" s="32"/>
      <c r="H76" s="32"/>
      <c r="I76" s="33"/>
      <c r="J76" s="34"/>
      <c r="K76" s="34"/>
    </row>
  </sheetData>
  <mergeCells count="3">
    <mergeCell ref="A1:C2"/>
    <mergeCell ref="E1:H2"/>
    <mergeCell ref="E3:H4"/>
  </mergeCells>
  <hyperlinks>
    <hyperlink ref="B3" r:id="rId1" display="WeldGroup" xr:uid="{70990B26-21E6-4255-960D-E342E513147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9306F-0E47-4A5F-8D6D-91AE65820A28}">
  <dimension ref="A1:K76"/>
  <sheetViews>
    <sheetView workbookViewId="0">
      <selection activeCell="N10" sqref="N10"/>
    </sheetView>
  </sheetViews>
  <sheetFormatPr defaultRowHeight="14.5" x14ac:dyDescent="0.35"/>
  <cols>
    <col min="1" max="2" width="7" customWidth="1"/>
    <col min="3" max="3" width="5.81640625" customWidth="1"/>
    <col min="4" max="4" width="7.36328125" customWidth="1"/>
    <col min="5" max="9" width="7" customWidth="1"/>
    <col min="10" max="10" width="8.453125" customWidth="1"/>
    <col min="11" max="11" width="7" customWidth="1"/>
  </cols>
  <sheetData>
    <row r="1" spans="1:11" ht="15" customHeight="1" x14ac:dyDescent="0.35">
      <c r="A1" s="39" t="str">
        <f>IF([8]Input!A1="","",[8]Input!A1)</f>
        <v/>
      </c>
      <c r="B1" s="49"/>
      <c r="C1" s="50"/>
      <c r="D1" s="1" t="s">
        <v>0</v>
      </c>
      <c r="E1" s="40" t="str">
        <f>IF([8]Input!E1="","",[8]Input!E1)</f>
        <v>OLN PTUS</v>
      </c>
      <c r="F1" s="49"/>
      <c r="G1" s="49"/>
      <c r="H1" s="49"/>
      <c r="I1" s="1" t="s">
        <v>1</v>
      </c>
      <c r="J1" s="2" t="str">
        <f>IF([8]Input!K1="","",[8]Input!K1)</f>
        <v/>
      </c>
      <c r="K1" s="3"/>
    </row>
    <row r="2" spans="1:11" ht="14.5" customHeight="1" x14ac:dyDescent="0.35">
      <c r="A2" s="51"/>
      <c r="B2" s="52"/>
      <c r="C2" s="53"/>
      <c r="D2" s="4"/>
      <c r="E2" s="52"/>
      <c r="F2" s="52"/>
      <c r="G2" s="52"/>
      <c r="H2" s="52"/>
      <c r="I2" s="5" t="s">
        <v>2</v>
      </c>
      <c r="J2" s="6">
        <f ca="1">NOW()</f>
        <v>46155.750915972225</v>
      </c>
      <c r="K2" s="7"/>
    </row>
    <row r="3" spans="1:11" ht="15" customHeight="1" x14ac:dyDescent="0.35">
      <c r="A3" s="8"/>
      <c r="B3" s="9" t="s">
        <v>3</v>
      </c>
      <c r="C3" s="10"/>
      <c r="D3" s="11" t="s">
        <v>4</v>
      </c>
      <c r="E3" s="45" t="str">
        <f>IF([8]Input!E3="","",[8]Input!E3)</f>
        <v>Bain Adit- Final Lining</v>
      </c>
      <c r="F3" s="54"/>
      <c r="G3" s="54"/>
      <c r="H3" s="54"/>
      <c r="I3" s="11" t="s">
        <v>5</v>
      </c>
      <c r="J3" s="12" t="str">
        <f>IF([8]Input!K3="","",[8]Input!K3)</f>
        <v/>
      </c>
      <c r="K3" s="13"/>
    </row>
    <row r="4" spans="1:11" ht="15" customHeight="1" thickBot="1" x14ac:dyDescent="0.4">
      <c r="A4" s="14"/>
      <c r="B4" s="15">
        <f>[8]Input!B4</f>
        <v>2021.04</v>
      </c>
      <c r="C4" s="16"/>
      <c r="D4" s="17"/>
      <c r="E4" s="55"/>
      <c r="F4" s="55"/>
      <c r="G4" s="55"/>
      <c r="H4" s="55"/>
      <c r="I4" s="18" t="s">
        <v>2</v>
      </c>
      <c r="J4" s="19">
        <f>IF([8]Input!K4="","",[8]Input!K4)</f>
        <v>46155.746515856481</v>
      </c>
      <c r="K4" s="20"/>
    </row>
    <row r="6" spans="1:11" ht="19" x14ac:dyDescent="0.5">
      <c r="A6" s="21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3"/>
    </row>
    <row r="8" spans="1:11" ht="68" x14ac:dyDescent="0.4">
      <c r="A8" s="24" t="s">
        <v>7</v>
      </c>
      <c r="B8" s="25" t="s">
        <v>8</v>
      </c>
      <c r="C8" s="26" t="s">
        <v>9</v>
      </c>
      <c r="D8" s="27" t="s">
        <v>10</v>
      </c>
      <c r="E8" s="27" t="s">
        <v>11</v>
      </c>
      <c r="G8" s="24" t="s">
        <v>7</v>
      </c>
      <c r="H8" s="25" t="s">
        <v>12</v>
      </c>
      <c r="I8" s="26" t="s">
        <v>9</v>
      </c>
      <c r="J8" s="27" t="s">
        <v>13</v>
      </c>
      <c r="K8" s="27" t="s">
        <v>11</v>
      </c>
    </row>
    <row r="9" spans="1:11" x14ac:dyDescent="0.35">
      <c r="A9" s="28" t="str">
        <f>UnitForce</f>
        <v>kN</v>
      </c>
      <c r="B9" s="29" t="str">
        <f>UnitMoment</f>
        <v>kN-M</v>
      </c>
      <c r="C9" s="30"/>
      <c r="D9" s="29" t="str">
        <f>UnitLength</f>
        <v>mm</v>
      </c>
      <c r="E9" s="31" t="str">
        <f>UnitLength&amp;"^4"</f>
        <v>mm^4</v>
      </c>
      <c r="G9" s="28" t="str">
        <f>UnitForce</f>
        <v>kN</v>
      </c>
      <c r="H9" s="29" t="str">
        <f>UnitMoment</f>
        <v>kN-M</v>
      </c>
      <c r="I9" s="30"/>
      <c r="J9" s="29" t="str">
        <f>UnitLength</f>
        <v>mm</v>
      </c>
      <c r="K9" s="31" t="str">
        <f>UnitLength&amp;"^4"</f>
        <v>mm^4</v>
      </c>
    </row>
    <row r="10" spans="1:11" x14ac:dyDescent="0.35">
      <c r="A10" s="32">
        <v>-1600</v>
      </c>
      <c r="B10" s="32">
        <v>106.24999999941035</v>
      </c>
      <c r="C10" s="33">
        <v>1</v>
      </c>
      <c r="D10" s="34">
        <v>1E-10</v>
      </c>
      <c r="E10" s="34">
        <v>1725911231.5737116</v>
      </c>
      <c r="G10" s="32"/>
      <c r="H10" s="32"/>
      <c r="I10" s="33"/>
      <c r="J10" s="34"/>
      <c r="K10" s="34"/>
    </row>
    <row r="11" spans="1:11" x14ac:dyDescent="0.35">
      <c r="A11" s="32">
        <v>-1039.4965281705909</v>
      </c>
      <c r="B11" s="32">
        <v>4.9172642236931949</v>
      </c>
      <c r="C11" s="33">
        <v>1</v>
      </c>
      <c r="D11" s="34">
        <v>20.017319983018044</v>
      </c>
      <c r="E11" s="34">
        <v>2424025546.5028214</v>
      </c>
      <c r="G11" s="32"/>
      <c r="H11" s="32"/>
      <c r="I11" s="33"/>
      <c r="J11" s="34"/>
      <c r="K11" s="34"/>
    </row>
    <row r="12" spans="1:11" x14ac:dyDescent="0.35">
      <c r="A12" s="32">
        <v>-304.60032231171147</v>
      </c>
      <c r="B12" s="32">
        <v>-204.71168827419197</v>
      </c>
      <c r="C12" s="33">
        <v>1</v>
      </c>
      <c r="D12" s="34">
        <v>40.034639965936094</v>
      </c>
      <c r="E12" s="34">
        <v>2707853818.2904081</v>
      </c>
      <c r="G12" s="32"/>
      <c r="H12" s="32"/>
      <c r="I12" s="33"/>
      <c r="J12" s="34"/>
      <c r="K12" s="34"/>
    </row>
    <row r="13" spans="1:11" x14ac:dyDescent="0.35">
      <c r="A13" s="32">
        <v>699.08109233785967</v>
      </c>
      <c r="B13" s="32">
        <v>-482.59478805307162</v>
      </c>
      <c r="C13" s="33">
        <v>1</v>
      </c>
      <c r="D13" s="34">
        <v>60.05195994885414</v>
      </c>
      <c r="E13" s="34">
        <v>2869162969.6186256</v>
      </c>
      <c r="G13" s="32"/>
      <c r="H13" s="32"/>
      <c r="I13" s="33"/>
      <c r="J13" s="34"/>
      <c r="K13" s="34"/>
    </row>
    <row r="14" spans="1:11" x14ac:dyDescent="0.35">
      <c r="A14" s="32">
        <v>1383.8524418270042</v>
      </c>
      <c r="B14" s="32">
        <v>-667.11583477638806</v>
      </c>
      <c r="C14" s="33">
        <v>1</v>
      </c>
      <c r="D14" s="34">
        <v>80.069279931772186</v>
      </c>
      <c r="E14" s="34">
        <v>2989265860.436841</v>
      </c>
      <c r="G14" s="32"/>
      <c r="H14" s="32"/>
      <c r="I14" s="33"/>
      <c r="J14" s="34"/>
      <c r="K14" s="34"/>
    </row>
    <row r="15" spans="1:11" x14ac:dyDescent="0.35">
      <c r="A15" s="32">
        <v>1897.1595466406416</v>
      </c>
      <c r="B15" s="32">
        <v>-798.82242907749423</v>
      </c>
      <c r="C15" s="33">
        <v>1</v>
      </c>
      <c r="D15" s="34">
        <v>100.08659991469023</v>
      </c>
      <c r="E15" s="34">
        <v>3094693743.4145837</v>
      </c>
      <c r="G15" s="32"/>
      <c r="H15" s="32"/>
      <c r="I15" s="33"/>
      <c r="J15" s="34"/>
      <c r="K15" s="34"/>
    </row>
    <row r="16" spans="1:11" x14ac:dyDescent="0.35">
      <c r="A16" s="32">
        <v>2217.66301846845</v>
      </c>
      <c r="B16" s="32">
        <v>-871.84623917105171</v>
      </c>
      <c r="C16" s="33">
        <v>1</v>
      </c>
      <c r="D16" s="34">
        <v>120.10391989760828</v>
      </c>
      <c r="E16" s="34">
        <v>3202238202.3216991</v>
      </c>
      <c r="G16" s="32"/>
      <c r="H16" s="32"/>
      <c r="I16" s="33"/>
      <c r="J16" s="34"/>
      <c r="K16" s="34"/>
    </row>
    <row r="17" spans="1:11" x14ac:dyDescent="0.35">
      <c r="A17" s="32">
        <v>2538.166490296258</v>
      </c>
      <c r="B17" s="32">
        <v>-939.20826412816314</v>
      </c>
      <c r="C17" s="33">
        <v>1</v>
      </c>
      <c r="D17" s="34">
        <v>140.12123988052633</v>
      </c>
      <c r="E17" s="34">
        <v>3322463543.7699065</v>
      </c>
      <c r="G17" s="32"/>
      <c r="H17" s="32"/>
      <c r="I17" s="33"/>
      <c r="J17" s="34"/>
      <c r="K17" s="34"/>
    </row>
    <row r="18" spans="1:11" x14ac:dyDescent="0.35">
      <c r="A18" s="32">
        <v>2858.6699621240664</v>
      </c>
      <c r="B18" s="32">
        <v>-1000.908503948829</v>
      </c>
      <c r="C18" s="33">
        <v>1</v>
      </c>
      <c r="D18" s="34">
        <v>160.13855986344439</v>
      </c>
      <c r="E18" s="34">
        <v>3463087583.8647132</v>
      </c>
      <c r="G18" s="32"/>
      <c r="H18" s="32"/>
      <c r="I18" s="33"/>
      <c r="J18" s="34"/>
      <c r="K18" s="34"/>
    </row>
    <row r="19" spans="1:11" x14ac:dyDescent="0.35">
      <c r="A19" s="32">
        <v>3179.1734339518744</v>
      </c>
      <c r="B19" s="32">
        <v>-1056.9469586330488</v>
      </c>
      <c r="C19" s="33">
        <v>1</v>
      </c>
      <c r="D19" s="34">
        <v>180.15587984636244</v>
      </c>
      <c r="E19" s="34">
        <v>3630375646.6744661</v>
      </c>
      <c r="G19" s="32"/>
      <c r="H19" s="32"/>
      <c r="I19" s="33"/>
      <c r="J19" s="34"/>
      <c r="K19" s="34"/>
    </row>
    <row r="20" spans="1:11" x14ac:dyDescent="0.35">
      <c r="A20" s="32">
        <v>3499.6769057796828</v>
      </c>
      <c r="B20" s="32">
        <v>-1107.3236281808231</v>
      </c>
      <c r="C20" s="33">
        <v>1</v>
      </c>
      <c r="D20" s="34">
        <v>200.17319982928049</v>
      </c>
      <c r="E20" s="34">
        <v>3829788431.0032072</v>
      </c>
      <c r="G20" s="32"/>
      <c r="H20" s="32"/>
      <c r="I20" s="33"/>
      <c r="J20" s="34"/>
      <c r="K20" s="34"/>
    </row>
    <row r="21" spans="1:11" x14ac:dyDescent="0.35">
      <c r="A21" s="32">
        <v>3820.1803776074908</v>
      </c>
      <c r="B21" s="32">
        <v>-1152.0385125921512</v>
      </c>
      <c r="C21" s="33">
        <v>1</v>
      </c>
      <c r="D21" s="34">
        <v>220.19051981219854</v>
      </c>
      <c r="E21" s="34">
        <v>4066311510.0283341</v>
      </c>
      <c r="G21" s="32"/>
      <c r="H21" s="32"/>
      <c r="I21" s="33"/>
      <c r="J21" s="34"/>
      <c r="K21" s="34"/>
    </row>
    <row r="22" spans="1:11" x14ac:dyDescent="0.35">
      <c r="A22" s="32">
        <v>4140.6838494352987</v>
      </c>
      <c r="B22" s="32">
        <v>-1191.0916118670336</v>
      </c>
      <c r="C22" s="33">
        <v>1</v>
      </c>
      <c r="D22" s="34">
        <v>240.2078397951166</v>
      </c>
      <c r="E22" s="34">
        <v>4344635169.5445709</v>
      </c>
      <c r="G22" s="32"/>
      <c r="H22" s="32"/>
      <c r="I22" s="33"/>
      <c r="J22" s="34"/>
      <c r="K22" s="34"/>
    </row>
    <row r="23" spans="1:11" x14ac:dyDescent="0.35">
      <c r="A23" s="32">
        <v>4461.1873212631062</v>
      </c>
      <c r="B23" s="32">
        <v>-1224.4829260054701</v>
      </c>
      <c r="C23" s="33">
        <v>1</v>
      </c>
      <c r="D23" s="34">
        <v>260.22515977803465</v>
      </c>
      <c r="E23" s="34">
        <v>4669258310.6504507</v>
      </c>
      <c r="G23" s="32"/>
      <c r="H23" s="32"/>
      <c r="I23" s="33"/>
      <c r="J23" s="34"/>
      <c r="K23" s="34"/>
    </row>
    <row r="24" spans="1:11" x14ac:dyDescent="0.35">
      <c r="A24" s="32">
        <v>4781.6907930909138</v>
      </c>
      <c r="B24" s="32">
        <v>-1252.2124550074609</v>
      </c>
      <c r="C24" s="33">
        <v>1</v>
      </c>
      <c r="D24" s="34">
        <v>280.24247976095268</v>
      </c>
      <c r="E24" s="34">
        <v>5044551364.6562595</v>
      </c>
      <c r="G24" s="32"/>
      <c r="H24" s="32"/>
      <c r="I24" s="33"/>
      <c r="J24" s="34"/>
      <c r="K24" s="34"/>
    </row>
    <row r="25" spans="1:11" x14ac:dyDescent="0.35">
      <c r="A25" s="32">
        <v>5102.1942649187222</v>
      </c>
      <c r="B25" s="32">
        <v>-1274.2801988730057</v>
      </c>
      <c r="C25" s="33">
        <v>1</v>
      </c>
      <c r="D25" s="34">
        <v>300.2597997438707</v>
      </c>
      <c r="E25" s="34">
        <v>5474795920.269021</v>
      </c>
      <c r="G25" s="32"/>
      <c r="H25" s="32"/>
      <c r="I25" s="33"/>
      <c r="J25" s="34"/>
      <c r="K25" s="34"/>
    </row>
    <row r="26" spans="1:11" x14ac:dyDescent="0.35">
      <c r="A26" s="32">
        <v>5422.6977367465297</v>
      </c>
      <c r="B26" s="32">
        <v>-1290.6861576021049</v>
      </c>
      <c r="C26" s="33">
        <v>1</v>
      </c>
      <c r="D26" s="34">
        <v>320.27711972678873</v>
      </c>
      <c r="E26" s="34">
        <v>5964210535.2165508</v>
      </c>
      <c r="G26" s="32"/>
      <c r="H26" s="32"/>
      <c r="I26" s="33"/>
      <c r="J26" s="34"/>
      <c r="K26" s="34"/>
    </row>
    <row r="27" spans="1:11" x14ac:dyDescent="0.35">
      <c r="A27" s="32">
        <v>5743.2012085743381</v>
      </c>
      <c r="B27" s="32">
        <v>-1301.4303311947583</v>
      </c>
      <c r="C27" s="33">
        <v>1</v>
      </c>
      <c r="D27" s="34">
        <v>340.29443970970675</v>
      </c>
      <c r="E27" s="34">
        <v>6516968043.1266861</v>
      </c>
      <c r="G27" s="32"/>
      <c r="H27" s="32"/>
      <c r="I27" s="33"/>
      <c r="J27" s="34"/>
      <c r="K27" s="34"/>
    </row>
    <row r="28" spans="1:11" x14ac:dyDescent="0.35">
      <c r="A28" s="32">
        <v>6063.7046804021456</v>
      </c>
      <c r="B28" s="32">
        <v>-1306.5127196509657</v>
      </c>
      <c r="C28" s="33">
        <v>1</v>
      </c>
      <c r="D28" s="34">
        <v>360.31175969262478</v>
      </c>
      <c r="E28" s="34">
        <v>7137207454.7673111</v>
      </c>
      <c r="G28" s="32"/>
      <c r="H28" s="32"/>
      <c r="I28" s="33"/>
      <c r="J28" s="34"/>
      <c r="K28" s="34"/>
    </row>
    <row r="29" spans="1:11" x14ac:dyDescent="0.35">
      <c r="A29" s="32">
        <v>6384.2081522299532</v>
      </c>
      <c r="B29" s="32">
        <v>-1305.9333229707274</v>
      </c>
      <c r="C29" s="33">
        <v>1</v>
      </c>
      <c r="D29" s="34">
        <v>380.3290796755428</v>
      </c>
      <c r="E29" s="34">
        <v>7829042325.9796209</v>
      </c>
      <c r="G29" s="32"/>
      <c r="H29" s="32"/>
      <c r="I29" s="33"/>
      <c r="J29" s="34"/>
      <c r="K29" s="34"/>
    </row>
    <row r="30" spans="1:11" x14ac:dyDescent="0.35">
      <c r="A30" s="32">
        <v>6756.6426105358087</v>
      </c>
      <c r="B30" s="32">
        <v>-1286.7093945345312</v>
      </c>
      <c r="C30" s="33">
        <v>1</v>
      </c>
      <c r="D30" s="34">
        <v>400.34639965846083</v>
      </c>
      <c r="E30" s="34">
        <v>8596566758.4232464</v>
      </c>
      <c r="G30" s="32"/>
      <c r="H30" s="32"/>
      <c r="I30" s="33"/>
      <c r="J30" s="34"/>
      <c r="K30" s="34"/>
    </row>
    <row r="31" spans="1:11" x14ac:dyDescent="0.35">
      <c r="A31" s="32">
        <v>7148.9588925313137</v>
      </c>
      <c r="B31" s="32">
        <v>-1256.8532250394776</v>
      </c>
      <c r="C31" s="33">
        <v>1</v>
      </c>
      <c r="D31" s="34">
        <v>420.36371964137885</v>
      </c>
      <c r="E31" s="34">
        <v>9443859779.2143192</v>
      </c>
      <c r="G31" s="32"/>
      <c r="H31" s="32"/>
      <c r="I31" s="33"/>
      <c r="J31" s="34"/>
      <c r="K31" s="34"/>
    </row>
    <row r="32" spans="1:11" x14ac:dyDescent="0.35">
      <c r="A32" s="32">
        <v>7534.7467372388446</v>
      </c>
      <c r="B32" s="32">
        <v>-1222.9673797299708</v>
      </c>
      <c r="C32" s="33">
        <v>1</v>
      </c>
      <c r="D32" s="34">
        <v>440.38103962429687</v>
      </c>
      <c r="E32" s="34">
        <v>10374988588.377039</v>
      </c>
      <c r="G32" s="32"/>
      <c r="H32" s="32"/>
      <c r="I32" s="33"/>
      <c r="J32" s="34"/>
      <c r="K32" s="34"/>
    </row>
    <row r="33" spans="1:11" x14ac:dyDescent="0.35">
      <c r="A33" s="32">
        <v>7914.8576799568364</v>
      </c>
      <c r="B33" s="32">
        <v>-1184.8389747814035</v>
      </c>
      <c r="C33" s="33">
        <v>1</v>
      </c>
      <c r="D33" s="34">
        <v>460.3983596072149</v>
      </c>
      <c r="E33" s="34">
        <v>11394011001.468056</v>
      </c>
      <c r="G33" s="32"/>
      <c r="H33" s="32"/>
      <c r="I33" s="33"/>
      <c r="J33" s="34"/>
      <c r="K33" s="34"/>
    </row>
    <row r="34" spans="1:11" x14ac:dyDescent="0.35">
      <c r="A34" s="32">
        <v>8290.0013334339801</v>
      </c>
      <c r="B34" s="32">
        <v>-1142.2906070066022</v>
      </c>
      <c r="C34" s="33">
        <v>1</v>
      </c>
      <c r="D34" s="34">
        <v>480.41567959013292</v>
      </c>
      <c r="E34" s="34">
        <v>12504977310.849785</v>
      </c>
      <c r="G34" s="32"/>
      <c r="H34" s="32"/>
      <c r="I34" s="33"/>
      <c r="J34" s="34"/>
      <c r="K34" s="34"/>
    </row>
    <row r="35" spans="1:11" x14ac:dyDescent="0.35">
      <c r="A35" s="32">
        <v>8660.7737723791779</v>
      </c>
      <c r="B35" s="32">
        <v>-1095.1732577283412</v>
      </c>
      <c r="C35" s="33">
        <v>1</v>
      </c>
      <c r="D35" s="34">
        <v>500.43299957305095</v>
      </c>
      <c r="E35" s="34">
        <v>13711931720.877413</v>
      </c>
      <c r="G35" s="32"/>
      <c r="H35" s="32"/>
      <c r="I35" s="33"/>
      <c r="J35" s="34"/>
      <c r="K35" s="34"/>
    </row>
    <row r="36" spans="1:11" x14ac:dyDescent="0.35">
      <c r="A36" s="32">
        <v>9027.6793676999641</v>
      </c>
      <c r="B36" s="32">
        <v>-1043.3608342197379</v>
      </c>
      <c r="C36" s="33">
        <v>1</v>
      </c>
      <c r="D36" s="34">
        <v>520.45031955596903</v>
      </c>
      <c r="E36" s="34">
        <v>15018913466.614594</v>
      </c>
      <c r="G36" s="32"/>
      <c r="H36" s="32"/>
      <c r="I36" s="33"/>
      <c r="J36" s="34"/>
      <c r="K36" s="34"/>
    </row>
    <row r="37" spans="1:11" x14ac:dyDescent="0.35">
      <c r="A37" s="32">
        <v>9391.1477686879352</v>
      </c>
      <c r="B37" s="32">
        <v>-986.74592415789198</v>
      </c>
      <c r="C37" s="33">
        <v>1</v>
      </c>
      <c r="D37" s="34">
        <v>540.46763953888706</v>
      </c>
      <c r="E37" s="34">
        <v>16429957694.607252</v>
      </c>
      <c r="G37" s="32"/>
      <c r="H37" s="32"/>
      <c r="I37" s="33"/>
      <c r="J37" s="34"/>
      <c r="K37" s="34"/>
    </row>
    <row r="38" spans="1:11" x14ac:dyDescent="0.35">
      <c r="A38" s="32">
        <v>9751.5472461644695</v>
      </c>
      <c r="B38" s="32">
        <v>-925.23645983746042</v>
      </c>
      <c r="C38" s="33">
        <v>1</v>
      </c>
      <c r="D38" s="34">
        <v>560.48495952180508</v>
      </c>
      <c r="E38" s="34">
        <v>17949096162.737274</v>
      </c>
      <c r="G38" s="32"/>
      <c r="H38" s="32"/>
      <c r="I38" s="33"/>
      <c r="J38" s="34"/>
      <c r="K38" s="34"/>
    </row>
    <row r="39" spans="1:11" x14ac:dyDescent="0.35">
      <c r="A39" s="32">
        <v>10109.195274975569</v>
      </c>
      <c r="B39" s="32">
        <v>-858.7530725469403</v>
      </c>
      <c r="C39" s="33">
        <v>1</v>
      </c>
      <c r="D39" s="34">
        <v>580.50227950472311</v>
      </c>
      <c r="E39" s="34">
        <v>19101519898.196522</v>
      </c>
      <c r="G39" s="32"/>
      <c r="H39" s="32"/>
      <c r="I39" s="33"/>
      <c r="J39" s="34"/>
      <c r="K39" s="34"/>
    </row>
    <row r="40" spans="1:11" x14ac:dyDescent="0.35">
      <c r="A40" s="32">
        <v>10464.367</v>
      </c>
      <c r="B40" s="32">
        <v>-787.22697607006432</v>
      </c>
      <c r="C40" s="33">
        <v>1</v>
      </c>
      <c r="D40" s="34">
        <v>600.51959948754143</v>
      </c>
      <c r="E40" s="34">
        <v>20848387418.788879</v>
      </c>
      <c r="G40" s="32"/>
      <c r="H40" s="32"/>
      <c r="I40" s="33"/>
      <c r="J40" s="34"/>
      <c r="K40" s="34"/>
    </row>
    <row r="41" spans="1:11" x14ac:dyDescent="0.35">
      <c r="A41" s="32">
        <v>10464.367</v>
      </c>
      <c r="B41" s="32">
        <v>0</v>
      </c>
      <c r="C41" s="33">
        <v>1</v>
      </c>
      <c r="D41" s="34"/>
      <c r="E41" s="34"/>
      <c r="G41" s="32"/>
      <c r="H41" s="32"/>
      <c r="I41" s="33"/>
      <c r="J41" s="34"/>
      <c r="K41" s="34"/>
    </row>
    <row r="42" spans="1:11" x14ac:dyDescent="0.35">
      <c r="A42" s="32"/>
      <c r="B42" s="32"/>
      <c r="C42" s="33"/>
      <c r="D42" s="34"/>
      <c r="E42" s="34"/>
      <c r="G42" s="32"/>
      <c r="H42" s="32"/>
      <c r="I42" s="33"/>
      <c r="J42" s="34"/>
      <c r="K42" s="34"/>
    </row>
    <row r="43" spans="1:11" x14ac:dyDescent="0.35">
      <c r="A43" s="32">
        <v>-1600</v>
      </c>
      <c r="B43" s="32">
        <v>106.25000000058965</v>
      </c>
      <c r="C43" s="33">
        <v>1</v>
      </c>
      <c r="D43" s="34">
        <v>1E-10</v>
      </c>
      <c r="E43" s="34">
        <v>1725911231.5852203</v>
      </c>
      <c r="G43" s="32"/>
      <c r="H43" s="32"/>
      <c r="I43" s="33"/>
      <c r="J43" s="34"/>
      <c r="K43" s="34"/>
    </row>
    <row r="44" spans="1:11" x14ac:dyDescent="0.35">
      <c r="A44" s="32">
        <v>-1029.1532006646398</v>
      </c>
      <c r="B44" s="32">
        <v>210.75865104258304</v>
      </c>
      <c r="C44" s="33">
        <v>1</v>
      </c>
      <c r="D44" s="34">
        <v>20.663321398210119</v>
      </c>
      <c r="E44" s="34">
        <v>3620160740.5916882</v>
      </c>
      <c r="G44" s="32"/>
      <c r="H44" s="32"/>
      <c r="I44" s="33"/>
      <c r="J44" s="34"/>
      <c r="K44" s="34"/>
    </row>
    <row r="45" spans="1:11" x14ac:dyDescent="0.35">
      <c r="A45" s="32">
        <v>-698.30640133088093</v>
      </c>
      <c r="B45" s="32">
        <v>309.23418460188611</v>
      </c>
      <c r="C45" s="33">
        <v>1</v>
      </c>
      <c r="D45" s="34">
        <v>41.326642796320243</v>
      </c>
      <c r="E45" s="34">
        <v>4368787234.24368</v>
      </c>
      <c r="G45" s="32"/>
      <c r="H45" s="32"/>
      <c r="I45" s="33"/>
      <c r="J45" s="34"/>
      <c r="K45" s="34"/>
    </row>
    <row r="46" spans="1:11" x14ac:dyDescent="0.35">
      <c r="A46" s="32">
        <v>-77.82652385889412</v>
      </c>
      <c r="B46" s="32">
        <v>474.08487021298663</v>
      </c>
      <c r="C46" s="33">
        <v>1</v>
      </c>
      <c r="D46" s="34">
        <v>61.989964194430364</v>
      </c>
      <c r="E46" s="34">
        <v>4779865505.6648979</v>
      </c>
      <c r="G46" s="32"/>
      <c r="H46" s="32"/>
      <c r="I46" s="33"/>
      <c r="J46" s="34"/>
      <c r="K46" s="34"/>
    </row>
    <row r="47" spans="1:11" x14ac:dyDescent="0.35">
      <c r="A47" s="32">
        <v>570.61200593992351</v>
      </c>
      <c r="B47" s="32">
        <v>639.89210142303511</v>
      </c>
      <c r="C47" s="33">
        <v>1</v>
      </c>
      <c r="D47" s="34">
        <v>82.653285592540485</v>
      </c>
      <c r="E47" s="34">
        <v>5053288116.5480146</v>
      </c>
      <c r="G47" s="32"/>
      <c r="H47" s="32"/>
      <c r="I47" s="33"/>
      <c r="J47" s="34"/>
      <c r="K47" s="34"/>
    </row>
    <row r="48" spans="1:11" x14ac:dyDescent="0.35">
      <c r="A48" s="32">
        <v>1064.7991560528408</v>
      </c>
      <c r="B48" s="32">
        <v>761.10337022884903</v>
      </c>
      <c r="C48" s="33">
        <v>1</v>
      </c>
      <c r="D48" s="34">
        <v>103.3166069906506</v>
      </c>
      <c r="E48" s="34">
        <v>5267420882.4608946</v>
      </c>
      <c r="G48" s="32"/>
      <c r="H48" s="32"/>
      <c r="I48" s="33"/>
      <c r="J48" s="34"/>
      <c r="K48" s="34"/>
    </row>
    <row r="49" spans="1:11" x14ac:dyDescent="0.35">
      <c r="A49" s="32">
        <v>1522.6826475727564</v>
      </c>
      <c r="B49" s="32">
        <v>867.20560690365289</v>
      </c>
      <c r="C49" s="33">
        <v>1</v>
      </c>
      <c r="D49" s="34">
        <v>123.97992838876073</v>
      </c>
      <c r="E49" s="34">
        <v>5456719675.4110985</v>
      </c>
      <c r="G49" s="32"/>
      <c r="H49" s="32"/>
      <c r="I49" s="33"/>
      <c r="J49" s="34"/>
      <c r="K49" s="34"/>
    </row>
    <row r="50" spans="1:11" x14ac:dyDescent="0.35">
      <c r="A50" s="32">
        <v>1944.2699413252242</v>
      </c>
      <c r="B50" s="32">
        <v>958.20067665383522</v>
      </c>
      <c r="C50" s="33">
        <v>1</v>
      </c>
      <c r="D50" s="34">
        <v>144.64324978687085</v>
      </c>
      <c r="E50" s="34">
        <v>5642708429.8042946</v>
      </c>
      <c r="G50" s="32"/>
      <c r="H50" s="32"/>
      <c r="I50" s="33"/>
      <c r="J50" s="34"/>
      <c r="K50" s="34"/>
    </row>
    <row r="51" spans="1:11" x14ac:dyDescent="0.35">
      <c r="A51" s="32">
        <v>2279.5597071716734</v>
      </c>
      <c r="B51" s="32">
        <v>1021.5882469447533</v>
      </c>
      <c r="C51" s="33">
        <v>1</v>
      </c>
      <c r="D51" s="34">
        <v>165.30657118498098</v>
      </c>
      <c r="E51" s="34">
        <v>5839487264.4056501</v>
      </c>
      <c r="G51" s="32"/>
      <c r="H51" s="32"/>
      <c r="I51" s="33"/>
      <c r="J51" s="34"/>
      <c r="K51" s="34"/>
    </row>
    <row r="52" spans="1:11" x14ac:dyDescent="0.35">
      <c r="A52" s="32">
        <v>2610.4065065054328</v>
      </c>
      <c r="B52" s="32">
        <v>1077.8319581247395</v>
      </c>
      <c r="C52" s="33">
        <v>1</v>
      </c>
      <c r="D52" s="34">
        <v>185.96989258309111</v>
      </c>
      <c r="E52" s="34">
        <v>6057364351.9059343</v>
      </c>
      <c r="G52" s="32"/>
      <c r="H52" s="32"/>
      <c r="I52" s="33"/>
      <c r="J52" s="34"/>
      <c r="K52" s="34"/>
    </row>
    <row r="53" spans="1:11" x14ac:dyDescent="0.35">
      <c r="A53" s="32">
        <v>2941.2533058391919</v>
      </c>
      <c r="B53" s="32">
        <v>1128.0425518219656</v>
      </c>
      <c r="C53" s="33">
        <v>1</v>
      </c>
      <c r="D53" s="34">
        <v>206.63321398120124</v>
      </c>
      <c r="E53" s="34">
        <v>6304545677.601738</v>
      </c>
      <c r="G53" s="32"/>
      <c r="H53" s="32"/>
      <c r="I53" s="33"/>
      <c r="J53" s="34"/>
      <c r="K53" s="34"/>
    </row>
    <row r="54" spans="1:11" x14ac:dyDescent="0.35">
      <c r="A54" s="32">
        <v>3272.1001051729513</v>
      </c>
      <c r="B54" s="32">
        <v>1172.2200280364325</v>
      </c>
      <c r="C54" s="33">
        <v>1</v>
      </c>
      <c r="D54" s="34">
        <v>227.29653537931136</v>
      </c>
      <c r="E54" s="34">
        <v>6587995154.9624481</v>
      </c>
      <c r="G54" s="32"/>
      <c r="H54" s="32"/>
      <c r="I54" s="33"/>
      <c r="J54" s="34"/>
      <c r="K54" s="34"/>
    </row>
    <row r="55" spans="1:11" x14ac:dyDescent="0.35">
      <c r="A55" s="32">
        <v>3602.9469045067099</v>
      </c>
      <c r="B55" s="32">
        <v>1210.3643867681396</v>
      </c>
      <c r="C55" s="33">
        <v>1</v>
      </c>
      <c r="D55" s="34">
        <v>247.95985677742149</v>
      </c>
      <c r="E55" s="34">
        <v>6913904382.1942644</v>
      </c>
      <c r="G55" s="32"/>
      <c r="H55" s="32"/>
      <c r="I55" s="33"/>
      <c r="J55" s="34"/>
      <c r="K55" s="34"/>
    </row>
    <row r="56" spans="1:11" x14ac:dyDescent="0.35">
      <c r="A56" s="32">
        <v>3933.7937038404689</v>
      </c>
      <c r="B56" s="32">
        <v>1242.4756280170873</v>
      </c>
      <c r="C56" s="33">
        <v>1</v>
      </c>
      <c r="D56" s="34">
        <v>268.62317817553162</v>
      </c>
      <c r="E56" s="34">
        <v>7287964194.5460682</v>
      </c>
      <c r="G56" s="32"/>
      <c r="H56" s="32"/>
      <c r="I56" s="33"/>
      <c r="J56" s="34"/>
      <c r="K56" s="34"/>
    </row>
    <row r="57" spans="1:11" x14ac:dyDescent="0.35">
      <c r="A57" s="32">
        <v>4264.6405031742279</v>
      </c>
      <c r="B57" s="32">
        <v>1268.5537517832752</v>
      </c>
      <c r="C57" s="33">
        <v>1</v>
      </c>
      <c r="D57" s="34">
        <v>289.28649957364172</v>
      </c>
      <c r="E57" s="34">
        <v>7715529168.4274826</v>
      </c>
      <c r="G57" s="32"/>
      <c r="H57" s="32"/>
      <c r="I57" s="33"/>
      <c r="J57" s="34"/>
      <c r="K57" s="34"/>
    </row>
    <row r="58" spans="1:11" x14ac:dyDescent="0.35">
      <c r="A58" s="32">
        <v>4595.4873025079869</v>
      </c>
      <c r="B58" s="32">
        <v>1288.5987580667036</v>
      </c>
      <c r="C58" s="33">
        <v>1</v>
      </c>
      <c r="D58" s="34">
        <v>309.94982097175182</v>
      </c>
      <c r="E58" s="34">
        <v>8201721274.6185865</v>
      </c>
      <c r="G58" s="32"/>
      <c r="H58" s="32"/>
      <c r="I58" s="33"/>
      <c r="J58" s="34"/>
      <c r="K58" s="34"/>
    </row>
    <row r="59" spans="1:11" x14ac:dyDescent="0.35">
      <c r="A59" s="32">
        <v>4926.334101841745</v>
      </c>
      <c r="B59" s="32">
        <v>1302.6106468673725</v>
      </c>
      <c r="C59" s="33">
        <v>1</v>
      </c>
      <c r="D59" s="34">
        <v>330.61314236986192</v>
      </c>
      <c r="E59" s="34">
        <v>8751497416.170496</v>
      </c>
      <c r="G59" s="32"/>
      <c r="H59" s="32"/>
      <c r="I59" s="33"/>
      <c r="J59" s="34"/>
      <c r="K59" s="34"/>
    </row>
    <row r="60" spans="1:11" x14ac:dyDescent="0.35">
      <c r="A60" s="32">
        <v>5257.180901175504</v>
      </c>
      <c r="B60" s="32">
        <v>1310.5894181852818</v>
      </c>
      <c r="C60" s="33">
        <v>1</v>
      </c>
      <c r="D60" s="34">
        <v>351.27646376797202</v>
      </c>
      <c r="E60" s="34">
        <v>9369694725.9653358</v>
      </c>
      <c r="G60" s="32"/>
      <c r="H60" s="32"/>
      <c r="I60" s="33"/>
      <c r="J60" s="34"/>
      <c r="K60" s="34"/>
    </row>
    <row r="61" spans="1:11" x14ac:dyDescent="0.35">
      <c r="A61" s="32">
        <v>5588.0277005092612</v>
      </c>
      <c r="B61" s="32">
        <v>1312.5350720204312</v>
      </c>
      <c r="C61" s="33">
        <v>1</v>
      </c>
      <c r="D61" s="34">
        <v>371.93978516608212</v>
      </c>
      <c r="E61" s="34">
        <v>10061061723.796429</v>
      </c>
      <c r="G61" s="32"/>
      <c r="H61" s="32"/>
      <c r="I61" s="33"/>
      <c r="J61" s="34"/>
      <c r="K61" s="34"/>
    </row>
    <row r="62" spans="1:11" x14ac:dyDescent="0.35">
      <c r="A62" s="32">
        <v>5918.8744998430211</v>
      </c>
      <c r="B62" s="32">
        <v>1308.4476083728214</v>
      </c>
      <c r="C62" s="33">
        <v>1</v>
      </c>
      <c r="D62" s="34">
        <v>392.60310656419222</v>
      </c>
      <c r="E62" s="34">
        <v>10830280228.196735</v>
      </c>
      <c r="G62" s="32"/>
      <c r="H62" s="32"/>
      <c r="I62" s="33"/>
      <c r="J62" s="34"/>
      <c r="K62" s="34"/>
    </row>
    <row r="63" spans="1:11" x14ac:dyDescent="0.35">
      <c r="A63" s="32">
        <v>6308.9874554497501</v>
      </c>
      <c r="B63" s="32">
        <v>1282.0288342673853</v>
      </c>
      <c r="C63" s="33">
        <v>1</v>
      </c>
      <c r="D63" s="34">
        <v>413.26642796230232</v>
      </c>
      <c r="E63" s="34">
        <v>11681981072.761576</v>
      </c>
      <c r="G63" s="32"/>
      <c r="H63" s="32"/>
      <c r="I63" s="33"/>
      <c r="J63" s="34"/>
      <c r="K63" s="34"/>
    </row>
    <row r="64" spans="1:11" x14ac:dyDescent="0.35">
      <c r="A64" s="32">
        <v>6760.8215806752441</v>
      </c>
      <c r="B64" s="32">
        <v>1232.6036210340287</v>
      </c>
      <c r="C64" s="33">
        <v>1</v>
      </c>
      <c r="D64" s="34">
        <v>433.92974936041242</v>
      </c>
      <c r="E64" s="34">
        <v>12620755578.711926</v>
      </c>
      <c r="G64" s="32"/>
      <c r="H64" s="32"/>
      <c r="I64" s="33"/>
      <c r="J64" s="34"/>
      <c r="K64" s="34"/>
    </row>
    <row r="65" spans="1:11" x14ac:dyDescent="0.35">
      <c r="A65" s="32">
        <v>7201.6568580924013</v>
      </c>
      <c r="B65" s="32">
        <v>1180.1699734652057</v>
      </c>
      <c r="C65" s="33">
        <v>1</v>
      </c>
      <c r="D65" s="34">
        <v>454.59307075852252</v>
      </c>
      <c r="E65" s="34">
        <v>13651164063.019287</v>
      </c>
      <c r="G65" s="32"/>
      <c r="H65" s="32"/>
      <c r="I65" s="33"/>
      <c r="J65" s="34"/>
      <c r="K65" s="34"/>
    </row>
    <row r="66" spans="1:11" x14ac:dyDescent="0.35">
      <c r="A66" s="32">
        <v>7632.9279200240462</v>
      </c>
      <c r="B66" s="32">
        <v>1124.3333676721384</v>
      </c>
      <c r="C66" s="33">
        <v>1</v>
      </c>
      <c r="D66" s="34">
        <v>475.25639215663261</v>
      </c>
      <c r="E66" s="34">
        <v>14777742238.852886</v>
      </c>
      <c r="G66" s="32"/>
      <c r="H66" s="32"/>
      <c r="I66" s="33"/>
      <c r="J66" s="34"/>
      <c r="K66" s="34"/>
    </row>
    <row r="67" spans="1:11" x14ac:dyDescent="0.35">
      <c r="A67" s="32">
        <v>8055.8302934058702</v>
      </c>
      <c r="B67" s="32">
        <v>1064.7650337475127</v>
      </c>
      <c r="C67" s="33">
        <v>1</v>
      </c>
      <c r="D67" s="34">
        <v>495.91971355474271</v>
      </c>
      <c r="E67" s="34">
        <v>16005006093.342129</v>
      </c>
      <c r="G67" s="32"/>
      <c r="H67" s="32"/>
      <c r="I67" s="33"/>
      <c r="J67" s="34"/>
      <c r="K67" s="34"/>
    </row>
    <row r="68" spans="1:11" x14ac:dyDescent="0.35">
      <c r="A68" s="32">
        <v>8471.3682208638511</v>
      </c>
      <c r="B68" s="32">
        <v>1001.1888049691847</v>
      </c>
      <c r="C68" s="33">
        <v>1</v>
      </c>
      <c r="D68" s="34">
        <v>516.58303495285281</v>
      </c>
      <c r="E68" s="34">
        <v>17337455649.162392</v>
      </c>
      <c r="G68" s="32"/>
      <c r="H68" s="32"/>
      <c r="I68" s="33"/>
      <c r="J68" s="34"/>
      <c r="K68" s="34"/>
    </row>
    <row r="69" spans="1:11" x14ac:dyDescent="0.35">
      <c r="A69" s="32">
        <v>8880.3914461584318</v>
      </c>
      <c r="B69" s="32">
        <v>933.3710018030315</v>
      </c>
      <c r="C69" s="33">
        <v>1</v>
      </c>
      <c r="D69" s="34">
        <v>537.24635635096297</v>
      </c>
      <c r="E69" s="34">
        <v>18779577896.980392</v>
      </c>
      <c r="G69" s="32"/>
      <c r="H69" s="32"/>
      <c r="I69" s="33"/>
      <c r="J69" s="34"/>
      <c r="K69" s="34"/>
    </row>
    <row r="70" spans="1:11" x14ac:dyDescent="0.35">
      <c r="A70" s="32">
        <v>9283.6238250855458</v>
      </c>
      <c r="B70" s="32">
        <v>861.11256390517269</v>
      </c>
      <c r="C70" s="33">
        <v>1</v>
      </c>
      <c r="D70" s="34">
        <v>557.90967774907313</v>
      </c>
      <c r="E70" s="34">
        <v>20335849104.425514</v>
      </c>
      <c r="G70" s="32"/>
      <c r="H70" s="32"/>
      <c r="I70" s="33"/>
      <c r="J70" s="34"/>
      <c r="K70" s="34"/>
    </row>
    <row r="71" spans="1:11" x14ac:dyDescent="0.35">
      <c r="A71" s="32">
        <v>9681.6858054702752</v>
      </c>
      <c r="B71" s="32">
        <v>784.24286812370894</v>
      </c>
      <c r="C71" s="33">
        <v>1</v>
      </c>
      <c r="D71" s="34">
        <v>578.57299914718328</v>
      </c>
      <c r="E71" s="34">
        <v>22010736650.9459</v>
      </c>
      <c r="G71" s="32"/>
      <c r="H71" s="32"/>
      <c r="I71" s="33"/>
      <c r="J71" s="34"/>
      <c r="K71" s="34"/>
    </row>
    <row r="72" spans="1:11" x14ac:dyDescent="0.35">
      <c r="A72" s="32">
        <v>10075.112256127357</v>
      </c>
      <c r="B72" s="32">
        <v>702.61482553458984</v>
      </c>
      <c r="C72" s="33">
        <v>1</v>
      </c>
      <c r="D72" s="34">
        <v>599.23632054529344</v>
      </c>
      <c r="E72" s="34">
        <v>23808700498.369339</v>
      </c>
      <c r="G72" s="32"/>
      <c r="H72" s="32"/>
      <c r="I72" s="33"/>
      <c r="J72" s="34"/>
      <c r="K72" s="34"/>
    </row>
    <row r="73" spans="1:11" x14ac:dyDescent="0.35">
      <c r="A73" s="32">
        <v>10464.367</v>
      </c>
      <c r="B73" s="32">
        <v>616.10095907073583</v>
      </c>
      <c r="C73" s="33">
        <v>1</v>
      </c>
      <c r="D73" s="34">
        <v>619.89964194330366</v>
      </c>
      <c r="E73" s="34">
        <v>24879764550.899097</v>
      </c>
      <c r="G73" s="32"/>
      <c r="H73" s="32"/>
      <c r="I73" s="33"/>
      <c r="J73" s="34"/>
      <c r="K73" s="34"/>
    </row>
    <row r="74" spans="1:11" x14ac:dyDescent="0.35">
      <c r="A74" s="32">
        <v>10464.367</v>
      </c>
      <c r="B74" s="32">
        <v>0</v>
      </c>
      <c r="C74" s="33">
        <v>1</v>
      </c>
      <c r="D74" s="34"/>
      <c r="E74" s="34"/>
      <c r="G74" s="32"/>
      <c r="H74" s="32"/>
      <c r="I74" s="33"/>
      <c r="J74" s="34"/>
      <c r="K74" s="34"/>
    </row>
    <row r="75" spans="1:11" x14ac:dyDescent="0.35">
      <c r="A75" s="32"/>
      <c r="B75" s="32"/>
      <c r="C75" s="33"/>
      <c r="D75" s="34"/>
      <c r="E75" s="34"/>
      <c r="G75" s="32"/>
      <c r="H75" s="32"/>
      <c r="I75" s="33"/>
      <c r="J75" s="34"/>
      <c r="K75" s="34"/>
    </row>
    <row r="76" spans="1:11" x14ac:dyDescent="0.35">
      <c r="A76" s="32"/>
      <c r="B76" s="32"/>
      <c r="C76" s="33"/>
      <c r="D76" s="34"/>
      <c r="E76" s="34"/>
      <c r="G76" s="32"/>
      <c r="H76" s="32"/>
      <c r="I76" s="33"/>
      <c r="J76" s="34"/>
      <c r="K76" s="34"/>
    </row>
  </sheetData>
  <mergeCells count="3">
    <mergeCell ref="A1:C2"/>
    <mergeCell ref="E1:H2"/>
    <mergeCell ref="E3:H4"/>
  </mergeCells>
  <hyperlinks>
    <hyperlink ref="B3" r:id="rId1" display="WeldGroup" xr:uid="{E08ED208-772B-4363-82A6-8CE9FBD2F09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DDF7-CCC8-4D10-865F-083BF6E74D59}">
  <dimension ref="A1:K76"/>
  <sheetViews>
    <sheetView tabSelected="1" workbookViewId="0">
      <selection activeCell="N8" sqref="N8"/>
    </sheetView>
  </sheetViews>
  <sheetFormatPr defaultRowHeight="14.5" x14ac:dyDescent="0.35"/>
  <cols>
    <col min="1" max="2" width="7" customWidth="1"/>
    <col min="3" max="3" width="5.81640625" customWidth="1"/>
    <col min="4" max="4" width="7.36328125" customWidth="1"/>
    <col min="5" max="9" width="7" customWidth="1"/>
    <col min="10" max="10" width="8.453125" customWidth="1"/>
    <col min="11" max="11" width="7" customWidth="1"/>
  </cols>
  <sheetData>
    <row r="1" spans="1:11" ht="15" customHeight="1" x14ac:dyDescent="0.35">
      <c r="A1" s="39" t="str">
        <f>IF([9]Input!A1="","",[9]Input!A1)</f>
        <v/>
      </c>
      <c r="B1" s="49"/>
      <c r="C1" s="50"/>
      <c r="D1" s="1" t="s">
        <v>0</v>
      </c>
      <c r="E1" s="40" t="str">
        <f>IF([9]Input!E1="","",[9]Input!E1)</f>
        <v>OLN PTUS</v>
      </c>
      <c r="F1" s="49"/>
      <c r="G1" s="49"/>
      <c r="H1" s="49"/>
      <c r="I1" s="1" t="s">
        <v>1</v>
      </c>
      <c r="J1" s="2" t="str">
        <f>IF([9]Input!K1="","",[9]Input!K1)</f>
        <v/>
      </c>
      <c r="K1" s="3"/>
    </row>
    <row r="2" spans="1:11" ht="14.5" customHeight="1" x14ac:dyDescent="0.35">
      <c r="A2" s="51"/>
      <c r="B2" s="52"/>
      <c r="C2" s="53"/>
      <c r="D2" s="4"/>
      <c r="E2" s="52"/>
      <c r="F2" s="52"/>
      <c r="G2" s="52"/>
      <c r="H2" s="52"/>
      <c r="I2" s="5" t="s">
        <v>2</v>
      </c>
      <c r="J2" s="6">
        <f ca="1">NOW()</f>
        <v>46155.75091574074</v>
      </c>
      <c r="K2" s="7"/>
    </row>
    <row r="3" spans="1:11" ht="15" customHeight="1" x14ac:dyDescent="0.35">
      <c r="A3" s="8"/>
      <c r="B3" s="9" t="s">
        <v>3</v>
      </c>
      <c r="C3" s="10"/>
      <c r="D3" s="11" t="s">
        <v>4</v>
      </c>
      <c r="E3" s="45" t="str">
        <f>IF([9]Input!E3="","",[9]Input!E3)</f>
        <v>Bain Adit- Final Lining</v>
      </c>
      <c r="F3" s="54"/>
      <c r="G3" s="54"/>
      <c r="H3" s="54"/>
      <c r="I3" s="11" t="s">
        <v>5</v>
      </c>
      <c r="J3" s="12" t="str">
        <f>IF([9]Input!K3="","",[9]Input!K3)</f>
        <v/>
      </c>
      <c r="K3" s="13"/>
    </row>
    <row r="4" spans="1:11" ht="15" customHeight="1" thickBot="1" x14ac:dyDescent="0.4">
      <c r="A4" s="14"/>
      <c r="B4" s="15">
        <f>[9]Input!B4</f>
        <v>2021.04</v>
      </c>
      <c r="C4" s="16"/>
      <c r="D4" s="17"/>
      <c r="E4" s="55"/>
      <c r="F4" s="55"/>
      <c r="G4" s="55"/>
      <c r="H4" s="55"/>
      <c r="I4" s="18" t="s">
        <v>2</v>
      </c>
      <c r="J4" s="19">
        <f ca="1">IF([9]Input!K4="","",[9]Input!K4)</f>
        <v>46155.750915856479</v>
      </c>
      <c r="K4" s="20"/>
    </row>
    <row r="6" spans="1:11" ht="19" x14ac:dyDescent="0.5">
      <c r="A6" s="21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3"/>
    </row>
    <row r="8" spans="1:11" ht="68" x14ac:dyDescent="0.4">
      <c r="A8" s="24" t="s">
        <v>7</v>
      </c>
      <c r="B8" s="25" t="s">
        <v>8</v>
      </c>
      <c r="C8" s="26" t="s">
        <v>9</v>
      </c>
      <c r="D8" s="27" t="s">
        <v>10</v>
      </c>
      <c r="E8" s="27" t="s">
        <v>11</v>
      </c>
      <c r="G8" s="24" t="s">
        <v>7</v>
      </c>
      <c r="H8" s="25" t="s">
        <v>12</v>
      </c>
      <c r="I8" s="26" t="s">
        <v>9</v>
      </c>
      <c r="J8" s="27" t="s">
        <v>13</v>
      </c>
      <c r="K8" s="27" t="s">
        <v>11</v>
      </c>
    </row>
    <row r="9" spans="1:11" x14ac:dyDescent="0.35">
      <c r="A9" s="28" t="str">
        <f>UnitForce</f>
        <v>kN</v>
      </c>
      <c r="B9" s="29" t="str">
        <f>UnitMoment</f>
        <v>kN-M</v>
      </c>
      <c r="C9" s="30"/>
      <c r="D9" s="29" t="str">
        <f>UnitLength</f>
        <v>mm</v>
      </c>
      <c r="E9" s="31" t="str">
        <f>UnitLength&amp;"^4"</f>
        <v>mm^4</v>
      </c>
      <c r="G9" s="28" t="str">
        <f>UnitForce</f>
        <v>kN</v>
      </c>
      <c r="H9" s="29" t="str">
        <f>UnitMoment</f>
        <v>kN-M</v>
      </c>
      <c r="I9" s="30"/>
      <c r="J9" s="29" t="str">
        <f>UnitLength</f>
        <v>mm</v>
      </c>
      <c r="K9" s="31" t="str">
        <f>UnitLength&amp;"^4"</f>
        <v>mm^4</v>
      </c>
    </row>
    <row r="10" spans="1:11" x14ac:dyDescent="0.35">
      <c r="A10" s="32">
        <v>-1933.3333333333335</v>
      </c>
      <c r="B10" s="32">
        <v>184.16666666607702</v>
      </c>
      <c r="C10" s="33">
        <v>1</v>
      </c>
      <c r="D10" s="34">
        <v>1E-10</v>
      </c>
      <c r="E10" s="34">
        <v>1904453772.7685091</v>
      </c>
      <c r="G10" s="32"/>
      <c r="H10" s="32"/>
      <c r="I10" s="33"/>
      <c r="J10" s="34"/>
      <c r="K10" s="34"/>
    </row>
    <row r="11" spans="1:11" x14ac:dyDescent="0.35">
      <c r="A11" s="32">
        <v>-1324.4479096285631</v>
      </c>
      <c r="B11" s="32">
        <v>83.331285400526568</v>
      </c>
      <c r="C11" s="33">
        <v>1</v>
      </c>
      <c r="D11" s="34">
        <v>19.916263395786892</v>
      </c>
      <c r="E11" s="34">
        <v>2463574333.2528214</v>
      </c>
      <c r="G11" s="32"/>
      <c r="H11" s="32"/>
      <c r="I11" s="33"/>
      <c r="J11" s="34"/>
      <c r="K11" s="34"/>
    </row>
    <row r="12" spans="1:11" x14ac:dyDescent="0.35">
      <c r="A12" s="32">
        <v>-467.82541685682259</v>
      </c>
      <c r="B12" s="32">
        <v>-159.77702698318598</v>
      </c>
      <c r="C12" s="33">
        <v>1</v>
      </c>
      <c r="D12" s="34">
        <v>39.832526791473782</v>
      </c>
      <c r="E12" s="34">
        <v>2718182454.8497968</v>
      </c>
      <c r="G12" s="32"/>
      <c r="H12" s="32"/>
      <c r="I12" s="33"/>
      <c r="J12" s="34"/>
      <c r="K12" s="34"/>
    </row>
    <row r="13" spans="1:11" x14ac:dyDescent="0.35">
      <c r="A13" s="32">
        <v>766.89278937741176</v>
      </c>
      <c r="B13" s="32">
        <v>-501.2568976933203</v>
      </c>
      <c r="C13" s="33">
        <v>1</v>
      </c>
      <c r="D13" s="34">
        <v>59.748790187160679</v>
      </c>
      <c r="E13" s="34">
        <v>2870378740.0452209</v>
      </c>
      <c r="G13" s="32"/>
      <c r="H13" s="32"/>
      <c r="I13" s="33"/>
      <c r="J13" s="34"/>
      <c r="K13" s="34"/>
    </row>
    <row r="14" spans="1:11" x14ac:dyDescent="0.35">
      <c r="A14" s="32">
        <v>1573.9331460133926</v>
      </c>
      <c r="B14" s="32">
        <v>-719.52059688817053</v>
      </c>
      <c r="C14" s="33">
        <v>1</v>
      </c>
      <c r="D14" s="34">
        <v>79.665053582847577</v>
      </c>
      <c r="E14" s="34">
        <v>2987742629.8726249</v>
      </c>
      <c r="G14" s="32"/>
      <c r="H14" s="32"/>
      <c r="I14" s="33"/>
      <c r="J14" s="34"/>
      <c r="K14" s="34"/>
    </row>
    <row r="15" spans="1:11" x14ac:dyDescent="0.35">
      <c r="A15" s="32">
        <v>2157.2833685174483</v>
      </c>
      <c r="B15" s="32">
        <v>-870.66474632097697</v>
      </c>
      <c r="C15" s="33">
        <v>1</v>
      </c>
      <c r="D15" s="34">
        <v>99.581316978534474</v>
      </c>
      <c r="E15" s="34">
        <v>3092083372.2954588</v>
      </c>
      <c r="G15" s="32"/>
      <c r="H15" s="32"/>
      <c r="I15" s="33"/>
      <c r="J15" s="34"/>
      <c r="K15" s="34"/>
    </row>
    <row r="16" spans="1:11" x14ac:dyDescent="0.35">
      <c r="A16" s="32">
        <v>2476.1687922206174</v>
      </c>
      <c r="B16" s="32">
        <v>-943.47631320777555</v>
      </c>
      <c r="C16" s="33">
        <v>1</v>
      </c>
      <c r="D16" s="34">
        <v>119.49758037422137</v>
      </c>
      <c r="E16" s="34">
        <v>3198951954.3660831</v>
      </c>
      <c r="G16" s="32"/>
      <c r="H16" s="32"/>
      <c r="I16" s="33"/>
      <c r="J16" s="34"/>
      <c r="K16" s="34"/>
    </row>
    <row r="17" spans="1:11" x14ac:dyDescent="0.35">
      <c r="A17" s="32">
        <v>2795.0542159237866</v>
      </c>
      <c r="B17" s="32">
        <v>-1010.6831172188099</v>
      </c>
      <c r="C17" s="33">
        <v>1</v>
      </c>
      <c r="D17" s="34">
        <v>139.41384376990825</v>
      </c>
      <c r="E17" s="34">
        <v>3318410078.6155748</v>
      </c>
      <c r="G17" s="32"/>
      <c r="H17" s="32"/>
      <c r="I17" s="33"/>
      <c r="J17" s="34"/>
      <c r="K17" s="34"/>
    </row>
    <row r="18" spans="1:11" x14ac:dyDescent="0.35">
      <c r="A18" s="32">
        <v>3113.9396396269558</v>
      </c>
      <c r="B18" s="32">
        <v>-1072.2851583540803</v>
      </c>
      <c r="C18" s="33">
        <v>1</v>
      </c>
      <c r="D18" s="34">
        <v>159.33010716559514</v>
      </c>
      <c r="E18" s="34">
        <v>3457933448.2100434</v>
      </c>
      <c r="G18" s="32"/>
      <c r="H18" s="32"/>
      <c r="I18" s="33"/>
      <c r="J18" s="34"/>
      <c r="K18" s="34"/>
    </row>
    <row r="19" spans="1:11" x14ac:dyDescent="0.35">
      <c r="A19" s="32">
        <v>3432.825063330125</v>
      </c>
      <c r="B19" s="32">
        <v>-1128.2824366135862</v>
      </c>
      <c r="C19" s="33">
        <v>1</v>
      </c>
      <c r="D19" s="34">
        <v>179.24637056128202</v>
      </c>
      <c r="E19" s="34">
        <v>3623648664.1275711</v>
      </c>
      <c r="G19" s="32"/>
      <c r="H19" s="32"/>
      <c r="I19" s="33"/>
      <c r="J19" s="34"/>
      <c r="K19" s="34"/>
    </row>
    <row r="20" spans="1:11" x14ac:dyDescent="0.35">
      <c r="A20" s="32">
        <v>3751.7104870332942</v>
      </c>
      <c r="B20" s="32">
        <v>-1178.674951997328</v>
      </c>
      <c r="C20" s="33">
        <v>1</v>
      </c>
      <c r="D20" s="34">
        <v>199.1626339569689</v>
      </c>
      <c r="E20" s="34">
        <v>3820922168.8912477</v>
      </c>
      <c r="G20" s="32"/>
      <c r="H20" s="32"/>
      <c r="I20" s="33"/>
      <c r="J20" s="34"/>
      <c r="K20" s="34"/>
    </row>
    <row r="21" spans="1:11" x14ac:dyDescent="0.35">
      <c r="A21" s="32">
        <v>4070.5959107364633</v>
      </c>
      <c r="B21" s="32">
        <v>-1223.4627045053055</v>
      </c>
      <c r="C21" s="33">
        <v>1</v>
      </c>
      <c r="D21" s="34">
        <v>219.07889735265579</v>
      </c>
      <c r="E21" s="34">
        <v>4054665443.463912</v>
      </c>
      <c r="G21" s="32"/>
      <c r="H21" s="32"/>
      <c r="I21" s="33"/>
      <c r="J21" s="34"/>
      <c r="K21" s="34"/>
    </row>
    <row r="22" spans="1:11" x14ac:dyDescent="0.35">
      <c r="A22" s="32">
        <v>4389.4813344396325</v>
      </c>
      <c r="B22" s="32">
        <v>-1262.6456941375188</v>
      </c>
      <c r="C22" s="33">
        <v>1</v>
      </c>
      <c r="D22" s="34">
        <v>238.99516074834267</v>
      </c>
      <c r="E22" s="34">
        <v>4329504093.0027466</v>
      </c>
      <c r="G22" s="32"/>
      <c r="H22" s="32"/>
      <c r="I22" s="33"/>
      <c r="J22" s="34"/>
      <c r="K22" s="34"/>
    </row>
    <row r="23" spans="1:11" x14ac:dyDescent="0.35">
      <c r="A23" s="32">
        <v>4708.3667581428017</v>
      </c>
      <c r="B23" s="32">
        <v>-1296.2239208939679</v>
      </c>
      <c r="C23" s="33">
        <v>1</v>
      </c>
      <c r="D23" s="34">
        <v>258.91142414402958</v>
      </c>
      <c r="E23" s="34">
        <v>4649876741.3594046</v>
      </c>
      <c r="G23" s="32"/>
      <c r="H23" s="32"/>
      <c r="I23" s="33"/>
      <c r="J23" s="34"/>
      <c r="K23" s="34"/>
    </row>
    <row r="24" spans="1:11" x14ac:dyDescent="0.35">
      <c r="A24" s="32">
        <v>5027.2521818459709</v>
      </c>
      <c r="B24" s="32">
        <v>-1324.1973847746526</v>
      </c>
      <c r="C24" s="33">
        <v>1</v>
      </c>
      <c r="D24" s="34">
        <v>278.82768753971646</v>
      </c>
      <c r="E24" s="34">
        <v>5020095528.8325424</v>
      </c>
      <c r="G24" s="32"/>
      <c r="H24" s="32"/>
      <c r="I24" s="33"/>
      <c r="J24" s="34"/>
      <c r="K24" s="34"/>
    </row>
    <row r="25" spans="1:11" x14ac:dyDescent="0.35">
      <c r="A25" s="32">
        <v>5346.1376055491401</v>
      </c>
      <c r="B25" s="32">
        <v>-1346.5660857795733</v>
      </c>
      <c r="C25" s="33">
        <v>1</v>
      </c>
      <c r="D25" s="34">
        <v>298.74395093540335</v>
      </c>
      <c r="E25" s="34">
        <v>5444384548.6646385</v>
      </c>
      <c r="G25" s="32"/>
      <c r="H25" s="32"/>
      <c r="I25" s="33"/>
      <c r="J25" s="34"/>
      <c r="K25" s="34"/>
    </row>
    <row r="26" spans="1:11" x14ac:dyDescent="0.35">
      <c r="A26" s="32">
        <v>5665.0230292523092</v>
      </c>
      <c r="B26" s="32">
        <v>-1363.3300239087296</v>
      </c>
      <c r="C26" s="33">
        <v>1</v>
      </c>
      <c r="D26" s="34">
        <v>318.66021433109023</v>
      </c>
      <c r="E26" s="34">
        <v>5926905070.2580223</v>
      </c>
      <c r="G26" s="32"/>
      <c r="H26" s="32"/>
      <c r="I26" s="33"/>
      <c r="J26" s="34"/>
      <c r="K26" s="34"/>
    </row>
    <row r="27" spans="1:11" x14ac:dyDescent="0.35">
      <c r="A27" s="32">
        <v>5983.9084529554775</v>
      </c>
      <c r="B27" s="32">
        <v>-1374.4891991621216</v>
      </c>
      <c r="C27" s="33">
        <v>1</v>
      </c>
      <c r="D27" s="34">
        <v>338.57647772677711</v>
      </c>
      <c r="E27" s="34">
        <v>6471772561.3079138</v>
      </c>
      <c r="G27" s="32"/>
      <c r="H27" s="32"/>
      <c r="I27" s="33"/>
      <c r="J27" s="34"/>
      <c r="K27" s="34"/>
    </row>
    <row r="28" spans="1:11" x14ac:dyDescent="0.35">
      <c r="A28" s="32">
        <v>6302.7938766586467</v>
      </c>
      <c r="B28" s="32">
        <v>-1380.0436115397497</v>
      </c>
      <c r="C28" s="33">
        <v>1</v>
      </c>
      <c r="D28" s="34">
        <v>358.492741122464</v>
      </c>
      <c r="E28" s="34">
        <v>7083068459.85672</v>
      </c>
      <c r="G28" s="32"/>
      <c r="H28" s="32"/>
      <c r="I28" s="33"/>
      <c r="J28" s="34"/>
      <c r="K28" s="34"/>
    </row>
    <row r="29" spans="1:11" x14ac:dyDescent="0.35">
      <c r="A29" s="32">
        <v>6621.6793003618168</v>
      </c>
      <c r="B29" s="32">
        <v>-1379.9932610416136</v>
      </c>
      <c r="C29" s="33">
        <v>1</v>
      </c>
      <c r="D29" s="34">
        <v>378.40900451815088</v>
      </c>
      <c r="E29" s="34">
        <v>7764848493.04848</v>
      </c>
      <c r="G29" s="32"/>
      <c r="H29" s="32"/>
      <c r="I29" s="33"/>
      <c r="J29" s="34"/>
      <c r="K29" s="34"/>
    </row>
    <row r="30" spans="1:11" x14ac:dyDescent="0.35">
      <c r="A30" s="32">
        <v>6984.8436573045456</v>
      </c>
      <c r="B30" s="32">
        <v>-1363.2684143578226</v>
      </c>
      <c r="C30" s="33">
        <v>1</v>
      </c>
      <c r="D30" s="34">
        <v>398.32526791383776</v>
      </c>
      <c r="E30" s="34">
        <v>8521148669.346694</v>
      </c>
      <c r="G30" s="32"/>
      <c r="H30" s="32"/>
      <c r="I30" s="33"/>
      <c r="J30" s="34"/>
      <c r="K30" s="34"/>
    </row>
    <row r="31" spans="1:11" x14ac:dyDescent="0.35">
      <c r="A31" s="32">
        <v>7375.906274662957</v>
      </c>
      <c r="B31" s="32">
        <v>-1333.964239694348</v>
      </c>
      <c r="C31" s="33">
        <v>1</v>
      </c>
      <c r="D31" s="34">
        <v>418.24153130952465</v>
      </c>
      <c r="E31" s="34">
        <v>9355989669.5234985</v>
      </c>
      <c r="G31" s="32"/>
      <c r="H31" s="32"/>
      <c r="I31" s="33"/>
      <c r="J31" s="34"/>
      <c r="K31" s="34"/>
    </row>
    <row r="32" spans="1:11" x14ac:dyDescent="0.35">
      <c r="A32" s="32">
        <v>7760.4073289618036</v>
      </c>
      <c r="B32" s="32">
        <v>-1300.6956929200001</v>
      </c>
      <c r="C32" s="33">
        <v>1</v>
      </c>
      <c r="D32" s="34">
        <v>438.15779470521153</v>
      </c>
      <c r="E32" s="34">
        <v>10273380114.32605</v>
      </c>
      <c r="G32" s="32"/>
      <c r="H32" s="32"/>
      <c r="I32" s="33"/>
      <c r="J32" s="34"/>
      <c r="K32" s="34"/>
    </row>
    <row r="33" spans="1:11" x14ac:dyDescent="0.35">
      <c r="A33" s="32">
        <v>8139.2026762523292</v>
      </c>
      <c r="B33" s="32">
        <v>-1263.2488100219673</v>
      </c>
      <c r="C33" s="33">
        <v>1</v>
      </c>
      <c r="D33" s="34">
        <v>458.07405810089841</v>
      </c>
      <c r="E33" s="34">
        <v>11277319030.378769</v>
      </c>
      <c r="G33" s="32"/>
      <c r="H33" s="32"/>
      <c r="I33" s="33"/>
      <c r="J33" s="34"/>
      <c r="K33" s="34"/>
    </row>
    <row r="34" spans="1:11" x14ac:dyDescent="0.35">
      <c r="A34" s="32">
        <v>8513.005529910577</v>
      </c>
      <c r="B34" s="32">
        <v>-1221.4452876562402</v>
      </c>
      <c r="C34" s="33">
        <v>1</v>
      </c>
      <c r="D34" s="34">
        <v>477.9903214965853</v>
      </c>
      <c r="E34" s="34">
        <v>12371797734.815081</v>
      </c>
      <c r="G34" s="32"/>
      <c r="H34" s="32"/>
      <c r="I34" s="33"/>
      <c r="J34" s="34"/>
      <c r="K34" s="34"/>
    </row>
    <row r="35" spans="1:11" x14ac:dyDescent="0.35">
      <c r="A35" s="32">
        <v>8882.414989172421</v>
      </c>
      <c r="B35" s="32">
        <v>-1175.1353510138506</v>
      </c>
      <c r="C35" s="33">
        <v>1</v>
      </c>
      <c r="D35" s="34">
        <v>497.90658489227218</v>
      </c>
      <c r="E35" s="34">
        <v>13560801292.451153</v>
      </c>
      <c r="G35" s="32"/>
      <c r="H35" s="32"/>
      <c r="I35" s="33"/>
      <c r="J35" s="34"/>
      <c r="K35" s="34"/>
    </row>
    <row r="36" spans="1:11" x14ac:dyDescent="0.35">
      <c r="A36" s="32">
        <v>9247.9379841605187</v>
      </c>
      <c r="B36" s="32">
        <v>-1124.192267564132</v>
      </c>
      <c r="C36" s="33">
        <v>1</v>
      </c>
      <c r="D36" s="34">
        <v>517.82284828795912</v>
      </c>
      <c r="E36" s="34">
        <v>14848309654.493252</v>
      </c>
      <c r="G36" s="32"/>
      <c r="H36" s="32"/>
      <c r="I36" s="33"/>
      <c r="J36" s="34"/>
      <c r="K36" s="34"/>
    </row>
    <row r="37" spans="1:11" x14ac:dyDescent="0.35">
      <c r="A37" s="32">
        <v>9610.0063442386236</v>
      </c>
      <c r="B37" s="32">
        <v>-1068.508079966148</v>
      </c>
      <c r="C37" s="33">
        <v>1</v>
      </c>
      <c r="D37" s="34">
        <v>537.739111683646</v>
      </c>
      <c r="E37" s="34">
        <v>16238298557.126019</v>
      </c>
      <c r="G37" s="32"/>
      <c r="H37" s="32"/>
      <c r="I37" s="33"/>
      <c r="J37" s="34"/>
      <c r="K37" s="34"/>
    </row>
    <row r="38" spans="1:11" x14ac:dyDescent="0.35">
      <c r="A38" s="32">
        <v>9968.9902088613781</v>
      </c>
      <c r="B38" s="32">
        <v>-1007.9902533562376</v>
      </c>
      <c r="C38" s="33">
        <v>1</v>
      </c>
      <c r="D38" s="34">
        <v>557.65537507933288</v>
      </c>
      <c r="E38" s="34">
        <v>17734740237.049026</v>
      </c>
      <c r="G38" s="32"/>
      <c r="H38" s="32"/>
      <c r="I38" s="33"/>
      <c r="J38" s="34"/>
      <c r="K38" s="34"/>
    </row>
    <row r="39" spans="1:11" x14ac:dyDescent="0.35">
      <c r="A39" s="32">
        <v>10325.208663765539</v>
      </c>
      <c r="B39" s="32">
        <v>-942.5590163002114</v>
      </c>
      <c r="C39" s="33">
        <v>1</v>
      </c>
      <c r="D39" s="34">
        <v>577.57163847501977</v>
      </c>
      <c r="E39" s="34">
        <v>18863377611.734379</v>
      </c>
      <c r="G39" s="32"/>
      <c r="H39" s="32"/>
      <c r="I39" s="33"/>
      <c r="J39" s="34"/>
      <c r="K39" s="34"/>
    </row>
    <row r="40" spans="1:11" x14ac:dyDescent="0.35">
      <c r="A40" s="32">
        <v>10678.938249999999</v>
      </c>
      <c r="B40" s="32">
        <v>-872.14523355546885</v>
      </c>
      <c r="C40" s="33">
        <v>1</v>
      </c>
      <c r="D40" s="34">
        <v>597.48790187060683</v>
      </c>
      <c r="E40" s="34">
        <v>20584071570.702614</v>
      </c>
      <c r="G40" s="32"/>
      <c r="H40" s="32"/>
      <c r="I40" s="33"/>
      <c r="J40" s="34"/>
      <c r="K40" s="34"/>
    </row>
    <row r="41" spans="1:11" x14ac:dyDescent="0.35">
      <c r="A41" s="32">
        <v>10678.938249999999</v>
      </c>
      <c r="B41" s="32">
        <v>0</v>
      </c>
      <c r="C41" s="33">
        <v>1</v>
      </c>
      <c r="D41" s="34"/>
      <c r="E41" s="34"/>
      <c r="G41" s="32"/>
      <c r="H41" s="32"/>
      <c r="I41" s="33"/>
      <c r="J41" s="34"/>
      <c r="K41" s="34"/>
    </row>
    <row r="42" spans="1:11" x14ac:dyDescent="0.35">
      <c r="A42" s="32"/>
      <c r="B42" s="32"/>
      <c r="C42" s="33"/>
      <c r="D42" s="34"/>
      <c r="E42" s="34"/>
      <c r="G42" s="32"/>
      <c r="H42" s="32"/>
      <c r="I42" s="33"/>
      <c r="J42" s="34"/>
      <c r="K42" s="34"/>
    </row>
    <row r="43" spans="1:11" x14ac:dyDescent="0.35">
      <c r="A43" s="32">
        <v>-1933.3333333333335</v>
      </c>
      <c r="B43" s="32">
        <v>184.16666666725635</v>
      </c>
      <c r="C43" s="33">
        <v>1</v>
      </c>
      <c r="D43" s="34">
        <v>1E-10</v>
      </c>
      <c r="E43" s="34">
        <v>1904453772.785018</v>
      </c>
      <c r="G43" s="32"/>
      <c r="H43" s="32"/>
      <c r="I43" s="33"/>
      <c r="J43" s="34"/>
      <c r="K43" s="34"/>
    </row>
    <row r="44" spans="1:11" x14ac:dyDescent="0.35">
      <c r="A44" s="32">
        <v>-1307.1527612465579</v>
      </c>
      <c r="B44" s="32">
        <v>290.31074645484074</v>
      </c>
      <c r="C44" s="33">
        <v>1</v>
      </c>
      <c r="D44" s="34">
        <v>20.99644676272603</v>
      </c>
      <c r="E44" s="34">
        <v>4335522943.508009</v>
      </c>
      <c r="G44" s="32"/>
      <c r="H44" s="32"/>
      <c r="I44" s="33"/>
      <c r="J44" s="34"/>
      <c r="K44" s="34"/>
    </row>
    <row r="45" spans="1:11" x14ac:dyDescent="0.35">
      <c r="A45" s="32">
        <v>-970.97218916138331</v>
      </c>
      <c r="B45" s="32">
        <v>390.22561396249773</v>
      </c>
      <c r="C45" s="33">
        <v>1</v>
      </c>
      <c r="D45" s="34">
        <v>41.992893525352059</v>
      </c>
      <c r="E45" s="34">
        <v>5397220086.5833073</v>
      </c>
      <c r="G45" s="32"/>
      <c r="H45" s="32"/>
      <c r="I45" s="33"/>
      <c r="J45" s="34"/>
      <c r="K45" s="34"/>
    </row>
    <row r="46" spans="1:11" x14ac:dyDescent="0.35">
      <c r="A46" s="32">
        <v>-325.00315509147401</v>
      </c>
      <c r="B46" s="32">
        <v>561.35838468634176</v>
      </c>
      <c r="C46" s="33">
        <v>1</v>
      </c>
      <c r="D46" s="34">
        <v>62.989340287978095</v>
      </c>
      <c r="E46" s="34">
        <v>6002593022.3552599</v>
      </c>
      <c r="G46" s="32"/>
      <c r="H46" s="32"/>
      <c r="I46" s="33"/>
      <c r="J46" s="34"/>
      <c r="K46" s="34"/>
    </row>
    <row r="47" spans="1:11" x14ac:dyDescent="0.35">
      <c r="A47" s="32">
        <v>323.73030149714475</v>
      </c>
      <c r="B47" s="32">
        <v>726.95304875986631</v>
      </c>
      <c r="C47" s="33">
        <v>1</v>
      </c>
      <c r="D47" s="34">
        <v>83.985787050604131</v>
      </c>
      <c r="E47" s="34">
        <v>6405235295.6944962</v>
      </c>
      <c r="G47" s="32"/>
      <c r="H47" s="32"/>
      <c r="I47" s="33"/>
      <c r="J47" s="34"/>
      <c r="K47" s="34"/>
    </row>
    <row r="48" spans="1:11" x14ac:dyDescent="0.35">
      <c r="A48" s="32">
        <v>820.22791678450494</v>
      </c>
      <c r="B48" s="32">
        <v>848.25954022807969</v>
      </c>
      <c r="C48" s="33">
        <v>1</v>
      </c>
      <c r="D48" s="34">
        <v>104.98223381323017</v>
      </c>
      <c r="E48" s="34">
        <v>6716303528.0091171</v>
      </c>
      <c r="G48" s="32"/>
      <c r="H48" s="32"/>
      <c r="I48" s="33"/>
      <c r="J48" s="34"/>
      <c r="K48" s="34"/>
    </row>
    <row r="49" spans="1:11" x14ac:dyDescent="0.35">
      <c r="A49" s="32">
        <v>1281.4296426711862</v>
      </c>
      <c r="B49" s="32">
        <v>954.5128470661266</v>
      </c>
      <c r="C49" s="33">
        <v>1</v>
      </c>
      <c r="D49" s="34">
        <v>125.9786805758562</v>
      </c>
      <c r="E49" s="34">
        <v>6979788836.0380354</v>
      </c>
      <c r="G49" s="32"/>
      <c r="H49" s="32"/>
      <c r="I49" s="33"/>
      <c r="J49" s="34"/>
      <c r="K49" s="34"/>
    </row>
    <row r="50" spans="1:11" x14ac:dyDescent="0.35">
      <c r="A50" s="32">
        <v>1702.7159837644899</v>
      </c>
      <c r="B50" s="32">
        <v>1044.5580954258321</v>
      </c>
      <c r="C50" s="33">
        <v>1</v>
      </c>
      <c r="D50" s="34">
        <v>146.97512733848222</v>
      </c>
      <c r="E50" s="34">
        <v>7225380586.1031971</v>
      </c>
      <c r="G50" s="32"/>
      <c r="H50" s="32"/>
      <c r="I50" s="33"/>
      <c r="J50" s="34"/>
      <c r="K50" s="34"/>
    </row>
    <row r="51" spans="1:11" x14ac:dyDescent="0.35">
      <c r="A51" s="32">
        <v>2038.8965558496634</v>
      </c>
      <c r="B51" s="32">
        <v>1107.0976892535089</v>
      </c>
      <c r="C51" s="33">
        <v>1</v>
      </c>
      <c r="D51" s="34">
        <v>167.97157410110825</v>
      </c>
      <c r="E51" s="34">
        <v>7472178275.7682285</v>
      </c>
      <c r="G51" s="32"/>
      <c r="H51" s="32"/>
      <c r="I51" s="33"/>
      <c r="J51" s="34"/>
      <c r="K51" s="34"/>
    </row>
    <row r="52" spans="1:11" x14ac:dyDescent="0.35">
      <c r="A52" s="32">
        <v>2375.0771279348378</v>
      </c>
      <c r="B52" s="32">
        <v>1163.4080708011888</v>
      </c>
      <c r="C52" s="33">
        <v>1</v>
      </c>
      <c r="D52" s="34">
        <v>188.96802086373427</v>
      </c>
      <c r="E52" s="34">
        <v>7733750657.2713985</v>
      </c>
      <c r="G52" s="32"/>
      <c r="H52" s="32"/>
      <c r="I52" s="33"/>
      <c r="J52" s="34"/>
      <c r="K52" s="34"/>
    </row>
    <row r="53" spans="1:11" x14ac:dyDescent="0.35">
      <c r="A53" s="32">
        <v>2711.2577000200126</v>
      </c>
      <c r="B53" s="32">
        <v>1213.4892400688723</v>
      </c>
      <c r="C53" s="33">
        <v>1</v>
      </c>
      <c r="D53" s="34">
        <v>209.96446762636029</v>
      </c>
      <c r="E53" s="34">
        <v>8020547516.7550964</v>
      </c>
      <c r="G53" s="32"/>
      <c r="H53" s="32"/>
      <c r="I53" s="33"/>
      <c r="J53" s="34"/>
      <c r="K53" s="34"/>
    </row>
    <row r="54" spans="1:11" x14ac:dyDescent="0.35">
      <c r="A54" s="32">
        <v>3047.438272105187</v>
      </c>
      <c r="B54" s="32">
        <v>1257.3411970565589</v>
      </c>
      <c r="C54" s="33">
        <v>1</v>
      </c>
      <c r="D54" s="34">
        <v>230.96091438898631</v>
      </c>
      <c r="E54" s="34">
        <v>8341150652.3274632</v>
      </c>
      <c r="G54" s="32"/>
      <c r="H54" s="32"/>
      <c r="I54" s="33"/>
      <c r="J54" s="34"/>
      <c r="K54" s="34"/>
    </row>
    <row r="55" spans="1:11" x14ac:dyDescent="0.35">
      <c r="A55" s="32">
        <v>3383.6188441903614</v>
      </c>
      <c r="B55" s="32">
        <v>1294.9639417642488</v>
      </c>
      <c r="C55" s="33">
        <v>1</v>
      </c>
      <c r="D55" s="34">
        <v>251.95736115161233</v>
      </c>
      <c r="E55" s="34">
        <v>8702967462.6320496</v>
      </c>
      <c r="G55" s="32"/>
      <c r="H55" s="32"/>
      <c r="I55" s="33"/>
      <c r="J55" s="34"/>
      <c r="K55" s="34"/>
    </row>
    <row r="56" spans="1:11" x14ac:dyDescent="0.35">
      <c r="A56" s="32">
        <v>3719.7994162755353</v>
      </c>
      <c r="B56" s="32">
        <v>1326.3574741919419</v>
      </c>
      <c r="C56" s="33">
        <v>1</v>
      </c>
      <c r="D56" s="34">
        <v>272.95380791423838</v>
      </c>
      <c r="E56" s="34">
        <v>9112636860.8915863</v>
      </c>
      <c r="G56" s="32"/>
      <c r="H56" s="32"/>
      <c r="I56" s="33"/>
      <c r="J56" s="34"/>
      <c r="K56" s="34"/>
    </row>
    <row r="57" spans="1:11" x14ac:dyDescent="0.35">
      <c r="A57" s="32">
        <v>4055.9799883607097</v>
      </c>
      <c r="B57" s="32">
        <v>1351.5217943396387</v>
      </c>
      <c r="C57" s="33">
        <v>1</v>
      </c>
      <c r="D57" s="34">
        <v>293.9502546768644</v>
      </c>
      <c r="E57" s="34">
        <v>9576277716.6320724</v>
      </c>
      <c r="G57" s="32"/>
      <c r="H57" s="32"/>
      <c r="I57" s="33"/>
      <c r="J57" s="34"/>
      <c r="K57" s="34"/>
    </row>
    <row r="58" spans="1:11" x14ac:dyDescent="0.35">
      <c r="A58" s="32">
        <v>4392.1605604458846</v>
      </c>
      <c r="B58" s="32">
        <v>1370.4569022073385</v>
      </c>
      <c r="C58" s="33">
        <v>1</v>
      </c>
      <c r="D58" s="34">
        <v>314.94670143949043</v>
      </c>
      <c r="E58" s="34">
        <v>10099646769.023502</v>
      </c>
      <c r="G58" s="32"/>
      <c r="H58" s="32"/>
      <c r="I58" s="33"/>
      <c r="J58" s="34"/>
      <c r="K58" s="34"/>
    </row>
    <row r="59" spans="1:11" x14ac:dyDescent="0.35">
      <c r="A59" s="32">
        <v>4728.341132531059</v>
      </c>
      <c r="B59" s="32">
        <v>1383.1627977950416</v>
      </c>
      <c r="C59" s="33">
        <v>1</v>
      </c>
      <c r="D59" s="34">
        <v>335.94314820211645</v>
      </c>
      <c r="E59" s="34">
        <v>10688242293.451897</v>
      </c>
      <c r="G59" s="32"/>
      <c r="H59" s="32"/>
      <c r="I59" s="33"/>
      <c r="J59" s="34"/>
      <c r="K59" s="34"/>
    </row>
    <row r="60" spans="1:11" x14ac:dyDescent="0.35">
      <c r="A60" s="32">
        <v>5064.5217046162334</v>
      </c>
      <c r="B60" s="32">
        <v>1389.6394811027481</v>
      </c>
      <c r="C60" s="33">
        <v>1</v>
      </c>
      <c r="D60" s="34">
        <v>356.93959496474247</v>
      </c>
      <c r="E60" s="34">
        <v>11347374084.796782</v>
      </c>
      <c r="G60" s="32"/>
      <c r="H60" s="32"/>
      <c r="I60" s="33"/>
      <c r="J60" s="34"/>
      <c r="K60" s="34"/>
    </row>
    <row r="61" spans="1:11" x14ac:dyDescent="0.35">
      <c r="A61" s="32">
        <v>5400.7022767014078</v>
      </c>
      <c r="B61" s="32">
        <v>1389.8869521304578</v>
      </c>
      <c r="C61" s="33">
        <v>1</v>
      </c>
      <c r="D61" s="34">
        <v>377.93604172736849</v>
      </c>
      <c r="E61" s="34">
        <v>12082211869.903858</v>
      </c>
      <c r="G61" s="32"/>
      <c r="H61" s="32"/>
      <c r="I61" s="33"/>
      <c r="J61" s="34"/>
      <c r="K61" s="34"/>
    </row>
    <row r="62" spans="1:11" x14ac:dyDescent="0.35">
      <c r="A62" s="32">
        <v>5736.8828487865812</v>
      </c>
      <c r="B62" s="32">
        <v>1383.9052108781707</v>
      </c>
      <c r="C62" s="33">
        <v>1</v>
      </c>
      <c r="D62" s="34">
        <v>398.93248848999451</v>
      </c>
      <c r="E62" s="34">
        <v>12897819527.090328</v>
      </c>
      <c r="G62" s="32"/>
      <c r="H62" s="32"/>
      <c r="I62" s="33"/>
      <c r="J62" s="34"/>
      <c r="K62" s="34"/>
    </row>
    <row r="63" spans="1:11" x14ac:dyDescent="0.35">
      <c r="A63" s="32">
        <v>6205.8326528265507</v>
      </c>
      <c r="B63" s="32">
        <v>1335.182718558319</v>
      </c>
      <c r="C63" s="33">
        <v>1</v>
      </c>
      <c r="D63" s="34">
        <v>419.92893525262053</v>
      </c>
      <c r="E63" s="34">
        <v>13799179740.944229</v>
      </c>
      <c r="G63" s="32"/>
      <c r="H63" s="32"/>
      <c r="I63" s="33"/>
      <c r="J63" s="34"/>
      <c r="K63" s="34"/>
    </row>
    <row r="64" spans="1:11" x14ac:dyDescent="0.35">
      <c r="A64" s="32">
        <v>6700.7702456122524</v>
      </c>
      <c r="B64" s="32">
        <v>1273.0843720533931</v>
      </c>
      <c r="C64" s="33">
        <v>1</v>
      </c>
      <c r="D64" s="34">
        <v>440.92538201524656</v>
      </c>
      <c r="E64" s="34">
        <v>14791212072.593</v>
      </c>
      <c r="G64" s="32"/>
      <c r="H64" s="32"/>
      <c r="I64" s="33"/>
      <c r="J64" s="34"/>
      <c r="K64" s="34"/>
    </row>
    <row r="65" spans="1:11" x14ac:dyDescent="0.35">
      <c r="A65" s="32">
        <v>7181.2753819706395</v>
      </c>
      <c r="B65" s="32">
        <v>1208.7257387859829</v>
      </c>
      <c r="C65" s="33">
        <v>1</v>
      </c>
      <c r="D65" s="34">
        <v>461.92182877787258</v>
      </c>
      <c r="E65" s="34">
        <v>15878786409.623352</v>
      </c>
      <c r="G65" s="32"/>
      <c r="H65" s="32"/>
      <c r="I65" s="33"/>
      <c r="J65" s="34"/>
      <c r="K65" s="34"/>
    </row>
    <row r="66" spans="1:11" x14ac:dyDescent="0.35">
      <c r="A66" s="32">
        <v>7649.2305562183146</v>
      </c>
      <c r="B66" s="32">
        <v>1141.5891328190219</v>
      </c>
      <c r="C66" s="33">
        <v>1</v>
      </c>
      <c r="D66" s="34">
        <v>482.9182755404986</v>
      </c>
      <c r="E66" s="34">
        <v>17066733117.580643</v>
      </c>
      <c r="G66" s="32"/>
      <c r="H66" s="32"/>
      <c r="I66" s="33"/>
      <c r="J66" s="34"/>
      <c r="K66" s="34"/>
    </row>
    <row r="67" spans="1:11" x14ac:dyDescent="0.35">
      <c r="A67" s="32">
        <v>8106.2045136191155</v>
      </c>
      <c r="B67" s="32">
        <v>1071.2431492049536</v>
      </c>
      <c r="C67" s="33">
        <v>1</v>
      </c>
      <c r="D67" s="34">
        <v>503.91472230312462</v>
      </c>
      <c r="E67" s="34">
        <v>18359850799.701504</v>
      </c>
      <c r="G67" s="32"/>
      <c r="H67" s="32"/>
      <c r="I67" s="33"/>
      <c r="J67" s="34"/>
      <c r="K67" s="34"/>
    </row>
    <row r="68" spans="1:11" x14ac:dyDescent="0.35">
      <c r="A68" s="32">
        <v>8553.5150001946695</v>
      </c>
      <c r="B68" s="32">
        <v>997.32540778783209</v>
      </c>
      <c r="C68" s="33">
        <v>1</v>
      </c>
      <c r="D68" s="34">
        <v>524.91116906575064</v>
      </c>
      <c r="E68" s="34">
        <v>19762912297.476158</v>
      </c>
      <c r="G68" s="32"/>
      <c r="H68" s="32"/>
      <c r="I68" s="33"/>
      <c r="J68" s="34"/>
      <c r="K68" s="34"/>
    </row>
    <row r="69" spans="1:11" x14ac:dyDescent="0.35">
      <c r="A69" s="32">
        <v>8992.2770318094263</v>
      </c>
      <c r="B69" s="32">
        <v>919.52927920493312</v>
      </c>
      <c r="C69" s="33">
        <v>1</v>
      </c>
      <c r="D69" s="34">
        <v>545.90761582837672</v>
      </c>
      <c r="E69" s="34">
        <v>21280669380.381699</v>
      </c>
      <c r="G69" s="32"/>
      <c r="H69" s="32"/>
      <c r="I69" s="33"/>
      <c r="J69" s="34"/>
      <c r="K69" s="34"/>
    </row>
    <row r="70" spans="1:11" x14ac:dyDescent="0.35">
      <c r="A70" s="32">
        <v>9423.4404367923653</v>
      </c>
      <c r="B70" s="32">
        <v>837.59356066578744</v>
      </c>
      <c r="C70" s="33">
        <v>1</v>
      </c>
      <c r="D70" s="34">
        <v>566.9040625910028</v>
      </c>
      <c r="E70" s="34">
        <v>22917856447.127708</v>
      </c>
      <c r="G70" s="32"/>
      <c r="H70" s="32"/>
      <c r="I70" s="33"/>
      <c r="J70" s="34"/>
      <c r="K70" s="34"/>
    </row>
    <row r="71" spans="1:11" x14ac:dyDescent="0.35">
      <c r="A71" s="32">
        <v>9847.8193537111802</v>
      </c>
      <c r="B71" s="32">
        <v>751.29436406427953</v>
      </c>
      <c r="C71" s="33">
        <v>1</v>
      </c>
      <c r="D71" s="34">
        <v>587.90050935362888</v>
      </c>
      <c r="E71" s="34">
        <v>24679193473.240341</v>
      </c>
      <c r="G71" s="32"/>
      <c r="H71" s="32"/>
      <c r="I71" s="33"/>
      <c r="J71" s="34"/>
      <c r="K71" s="34"/>
    </row>
    <row r="72" spans="1:11" x14ac:dyDescent="0.35">
      <c r="A72" s="32">
        <v>10266.115626158709</v>
      </c>
      <c r="B72" s="32">
        <v>660.43868241237817</v>
      </c>
      <c r="C72" s="33">
        <v>1</v>
      </c>
      <c r="D72" s="34">
        <v>608.89695611625496</v>
      </c>
      <c r="E72" s="34">
        <v>25449486186.368881</v>
      </c>
      <c r="G72" s="32"/>
      <c r="H72" s="32"/>
      <c r="I72" s="33"/>
      <c r="J72" s="34"/>
      <c r="K72" s="34"/>
    </row>
    <row r="73" spans="1:11" x14ac:dyDescent="0.35">
      <c r="A73" s="32">
        <v>10678.938249999999</v>
      </c>
      <c r="B73" s="32">
        <v>564.85924298758982</v>
      </c>
      <c r="C73" s="33">
        <v>1</v>
      </c>
      <c r="D73" s="34">
        <v>629.89340287878099</v>
      </c>
      <c r="E73" s="34">
        <v>27470727738.884705</v>
      </c>
      <c r="G73" s="32"/>
      <c r="H73" s="32"/>
      <c r="I73" s="33"/>
      <c r="J73" s="34"/>
      <c r="K73" s="34"/>
    </row>
    <row r="74" spans="1:11" x14ac:dyDescent="0.35">
      <c r="A74" s="32">
        <v>10678.938249999999</v>
      </c>
      <c r="B74" s="32">
        <v>0</v>
      </c>
      <c r="C74" s="33">
        <v>1</v>
      </c>
      <c r="D74" s="34"/>
      <c r="E74" s="34"/>
      <c r="G74" s="32"/>
      <c r="H74" s="32"/>
      <c r="I74" s="33"/>
      <c r="J74" s="34"/>
      <c r="K74" s="34"/>
    </row>
    <row r="75" spans="1:11" x14ac:dyDescent="0.35">
      <c r="A75" s="32"/>
      <c r="B75" s="32"/>
      <c r="C75" s="33"/>
      <c r="D75" s="34"/>
      <c r="E75" s="34"/>
      <c r="G75" s="32"/>
      <c r="H75" s="32"/>
      <c r="I75" s="33"/>
      <c r="J75" s="34"/>
      <c r="K75" s="34"/>
    </row>
    <row r="76" spans="1:11" x14ac:dyDescent="0.35">
      <c r="A76" s="32"/>
      <c r="B76" s="32"/>
      <c r="C76" s="33"/>
      <c r="D76" s="34"/>
      <c r="E76" s="34"/>
      <c r="G76" s="32"/>
      <c r="H76" s="32"/>
      <c r="I76" s="33"/>
      <c r="J76" s="34"/>
      <c r="K76" s="34"/>
    </row>
  </sheetData>
  <mergeCells count="3">
    <mergeCell ref="A1:C2"/>
    <mergeCell ref="E1:H2"/>
    <mergeCell ref="E3:H4"/>
  </mergeCells>
  <hyperlinks>
    <hyperlink ref="B3" r:id="rId1" display="WeldGroup" xr:uid="{5FED85BA-7FC2-429D-BEE6-F375AC7A2A6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84C5-CEFC-4069-BFA0-685A3CEC57F1}">
  <dimension ref="A1:K76"/>
  <sheetViews>
    <sheetView workbookViewId="0">
      <selection sqref="A1:K1048576"/>
    </sheetView>
  </sheetViews>
  <sheetFormatPr defaultRowHeight="14.5" x14ac:dyDescent="0.35"/>
  <cols>
    <col min="1" max="2" width="7.7265625" customWidth="1"/>
    <col min="3" max="3" width="6.453125" customWidth="1"/>
    <col min="4" max="4" width="8.1796875" customWidth="1"/>
    <col min="5" max="9" width="7.7265625" customWidth="1"/>
    <col min="10" max="10" width="9.26953125" customWidth="1"/>
    <col min="11" max="11" width="7.7265625" customWidth="1"/>
    <col min="12" max="12" width="7" customWidth="1"/>
  </cols>
  <sheetData>
    <row r="1" spans="1:11" ht="15" customHeight="1" x14ac:dyDescent="0.35">
      <c r="A1" s="39" t="str">
        <f>IF([7]Input!A1="","",[7]Input!A1)</f>
        <v/>
      </c>
      <c r="B1" s="49"/>
      <c r="C1" s="50"/>
      <c r="D1" s="1" t="s">
        <v>0</v>
      </c>
      <c r="E1" s="40" t="str">
        <f>IF([7]Input!E1="","",[7]Input!E1)</f>
        <v>OLN PTUS</v>
      </c>
      <c r="F1" s="49"/>
      <c r="G1" s="49"/>
      <c r="H1" s="49"/>
      <c r="I1" s="1" t="s">
        <v>1</v>
      </c>
      <c r="J1" s="2" t="str">
        <f>IF([7]Input!K1="","",[7]Input!K1)</f>
        <v/>
      </c>
      <c r="K1" s="3"/>
    </row>
    <row r="2" spans="1:11" x14ac:dyDescent="0.35">
      <c r="A2" s="51"/>
      <c r="B2" s="52"/>
      <c r="C2" s="53"/>
      <c r="D2" s="4"/>
      <c r="E2" s="52"/>
      <c r="F2" s="52"/>
      <c r="G2" s="52"/>
      <c r="H2" s="52"/>
      <c r="I2" s="5" t="s">
        <v>2</v>
      </c>
      <c r="J2" s="6">
        <f ca="1">NOW()</f>
        <v>46155.750915972225</v>
      </c>
      <c r="K2" s="7"/>
    </row>
    <row r="3" spans="1:11" ht="15" customHeight="1" x14ac:dyDescent="0.35">
      <c r="A3" s="8"/>
      <c r="B3" s="9" t="s">
        <v>3</v>
      </c>
      <c r="C3" s="10"/>
      <c r="D3" s="11" t="s">
        <v>4</v>
      </c>
      <c r="E3" s="45" t="str">
        <f>IF([7]Input!E3="","",[7]Input!E3)</f>
        <v>Bain Adit  - Final Lining</v>
      </c>
      <c r="F3" s="54"/>
      <c r="G3" s="54"/>
      <c r="H3" s="54"/>
      <c r="I3" s="11" t="s">
        <v>5</v>
      </c>
      <c r="J3" s="12" t="str">
        <f>IF([7]Input!K3="","",[7]Input!K3)</f>
        <v/>
      </c>
      <c r="K3" s="13"/>
    </row>
    <row r="4" spans="1:11" ht="15" thickBot="1" x14ac:dyDescent="0.4">
      <c r="A4" s="14"/>
      <c r="B4" s="15">
        <f>[7]Input!B4</f>
        <v>2021.04</v>
      </c>
      <c r="C4" s="16"/>
      <c r="D4" s="17"/>
      <c r="E4" s="55"/>
      <c r="F4" s="55"/>
      <c r="G4" s="55"/>
      <c r="H4" s="55"/>
      <c r="I4" s="18" t="s">
        <v>2</v>
      </c>
      <c r="J4" s="19">
        <f>IF([7]Input!K4="","",[7]Input!K4)</f>
        <v>46154.42783576389</v>
      </c>
      <c r="K4" s="20"/>
    </row>
    <row r="6" spans="1:11" ht="19" x14ac:dyDescent="0.5">
      <c r="A6" s="21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3"/>
    </row>
    <row r="8" spans="1:11" ht="54.5" x14ac:dyDescent="0.4">
      <c r="A8" s="24" t="s">
        <v>7</v>
      </c>
      <c r="B8" s="25" t="s">
        <v>8</v>
      </c>
      <c r="C8" s="26" t="s">
        <v>9</v>
      </c>
      <c r="D8" s="27" t="s">
        <v>10</v>
      </c>
      <c r="E8" s="27" t="s">
        <v>11</v>
      </c>
      <c r="G8" s="24" t="s">
        <v>7</v>
      </c>
      <c r="H8" s="25" t="s">
        <v>12</v>
      </c>
      <c r="I8" s="26" t="s">
        <v>9</v>
      </c>
      <c r="J8" s="27" t="s">
        <v>13</v>
      </c>
      <c r="K8" s="27" t="s">
        <v>11</v>
      </c>
    </row>
    <row r="9" spans="1:11" x14ac:dyDescent="0.35">
      <c r="A9" s="28" t="str">
        <f>UnitForce</f>
        <v>kN</v>
      </c>
      <c r="B9" s="29" t="str">
        <f>UnitMoment</f>
        <v>kN-M</v>
      </c>
      <c r="C9" s="30"/>
      <c r="D9" s="29" t="str">
        <f>UnitLength</f>
        <v>mm</v>
      </c>
      <c r="E9" s="31" t="str">
        <f>UnitLength&amp;"^4"</f>
        <v>mm^4</v>
      </c>
      <c r="G9" s="28" t="str">
        <f>UnitForce</f>
        <v>kN</v>
      </c>
      <c r="H9" s="29" t="str">
        <f>UnitMoment</f>
        <v>kN-M</v>
      </c>
      <c r="I9" s="30"/>
      <c r="J9" s="29" t="str">
        <f>UnitLength</f>
        <v>mm</v>
      </c>
      <c r="K9" s="31" t="str">
        <f>UnitLength&amp;"^4"</f>
        <v>mm^4</v>
      </c>
    </row>
    <row r="10" spans="1:11" x14ac:dyDescent="0.35">
      <c r="A10" s="32">
        <v>-2000</v>
      </c>
      <c r="B10" s="32">
        <v>21.249999999210775</v>
      </c>
      <c r="C10" s="33">
        <v>1</v>
      </c>
      <c r="D10" s="34">
        <v>1E-10</v>
      </c>
      <c r="E10" s="34">
        <v>4633947725.1315985</v>
      </c>
      <c r="G10" s="32"/>
      <c r="H10" s="32"/>
      <c r="I10" s="33"/>
      <c r="J10" s="34"/>
      <c r="K10" s="34"/>
    </row>
    <row r="11" spans="1:11" x14ac:dyDescent="0.35">
      <c r="A11" s="32">
        <v>-1264.4884083257357</v>
      </c>
      <c r="B11" s="32">
        <v>-162.97048401645574</v>
      </c>
      <c r="C11" s="33">
        <v>1</v>
      </c>
      <c r="D11" s="34">
        <v>27.20025102098538</v>
      </c>
      <c r="E11" s="34">
        <v>7311561579.0525579</v>
      </c>
      <c r="G11" s="32"/>
      <c r="H11" s="32"/>
      <c r="I11" s="33"/>
      <c r="J11" s="34"/>
      <c r="K11" s="34"/>
    </row>
    <row r="12" spans="1:11" x14ac:dyDescent="0.35">
      <c r="A12" s="32">
        <v>162.58214483126585</v>
      </c>
      <c r="B12" s="32">
        <v>-718.48705148006366</v>
      </c>
      <c r="C12" s="33">
        <v>1</v>
      </c>
      <c r="D12" s="34">
        <v>54.400502041870766</v>
      </c>
      <c r="E12" s="34">
        <v>8309637732.586216</v>
      </c>
      <c r="G12" s="32"/>
      <c r="H12" s="32"/>
      <c r="I12" s="33"/>
      <c r="J12" s="34"/>
      <c r="K12" s="34"/>
    </row>
    <row r="13" spans="1:11" x14ac:dyDescent="0.35">
      <c r="A13" s="32">
        <v>1088.8829368418262</v>
      </c>
      <c r="B13" s="32">
        <v>-1070.7531441786703</v>
      </c>
      <c r="C13" s="33">
        <v>1</v>
      </c>
      <c r="D13" s="34">
        <v>81.600753062756155</v>
      </c>
      <c r="E13" s="34">
        <v>8895896136.1329899</v>
      </c>
      <c r="G13" s="32"/>
      <c r="H13" s="32"/>
      <c r="I13" s="33"/>
      <c r="J13" s="34"/>
      <c r="K13" s="34"/>
    </row>
    <row r="14" spans="1:11" x14ac:dyDescent="0.35">
      <c r="A14" s="32">
        <v>1696.6885541922547</v>
      </c>
      <c r="B14" s="32">
        <v>-1289.9444779095045</v>
      </c>
      <c r="C14" s="33">
        <v>1</v>
      </c>
      <c r="D14" s="34">
        <v>108.80100408364154</v>
      </c>
      <c r="E14" s="34">
        <v>9296450017.4622459</v>
      </c>
      <c r="G14" s="32"/>
      <c r="H14" s="32"/>
      <c r="I14" s="33"/>
      <c r="J14" s="34"/>
      <c r="K14" s="34"/>
    </row>
    <row r="15" spans="1:11" x14ac:dyDescent="0.35">
      <c r="A15" s="32">
        <v>2132.2001458649179</v>
      </c>
      <c r="B15" s="32">
        <v>-1432.3484950307775</v>
      </c>
      <c r="C15" s="33">
        <v>1</v>
      </c>
      <c r="D15" s="34">
        <v>136.00125510452693</v>
      </c>
      <c r="E15" s="34">
        <v>9626916365.71661</v>
      </c>
      <c r="G15" s="32"/>
      <c r="H15" s="32"/>
      <c r="I15" s="33"/>
      <c r="J15" s="34"/>
      <c r="K15" s="34"/>
    </row>
    <row r="16" spans="1:11" x14ac:dyDescent="0.35">
      <c r="A16" s="32">
        <v>2567.711737537581</v>
      </c>
      <c r="B16" s="32">
        <v>-1564.2983954284291</v>
      </c>
      <c r="C16" s="33">
        <v>1</v>
      </c>
      <c r="D16" s="34">
        <v>163.20150612541232</v>
      </c>
      <c r="E16" s="34">
        <v>9943743666.9953976</v>
      </c>
      <c r="G16" s="32"/>
      <c r="H16" s="32"/>
      <c r="I16" s="33"/>
      <c r="J16" s="34"/>
      <c r="K16" s="34"/>
    </row>
    <row r="17" spans="1:11" x14ac:dyDescent="0.35">
      <c r="A17" s="32">
        <v>3003.2233292102446</v>
      </c>
      <c r="B17" s="32">
        <v>-1685.7941791024591</v>
      </c>
      <c r="C17" s="33">
        <v>1</v>
      </c>
      <c r="D17" s="34">
        <v>190.40175714629771</v>
      </c>
      <c r="E17" s="34">
        <v>10280574582.628319</v>
      </c>
      <c r="G17" s="32"/>
      <c r="H17" s="32"/>
      <c r="I17" s="33"/>
      <c r="J17" s="34"/>
      <c r="K17" s="34"/>
    </row>
    <row r="18" spans="1:11" x14ac:dyDescent="0.35">
      <c r="A18" s="32">
        <v>3438.7349208829073</v>
      </c>
      <c r="B18" s="32">
        <v>-1796.8358460528671</v>
      </c>
      <c r="C18" s="33">
        <v>1</v>
      </c>
      <c r="D18" s="34">
        <v>217.6020081671831</v>
      </c>
      <c r="E18" s="34">
        <v>10660727404.690239</v>
      </c>
      <c r="G18" s="32"/>
      <c r="H18" s="32"/>
      <c r="I18" s="33"/>
      <c r="J18" s="34"/>
      <c r="K18" s="34"/>
    </row>
    <row r="19" spans="1:11" x14ac:dyDescent="0.35">
      <c r="A19" s="32">
        <v>3874.2465125555714</v>
      </c>
      <c r="B19" s="32">
        <v>-1897.4233962796543</v>
      </c>
      <c r="C19" s="33">
        <v>1</v>
      </c>
      <c r="D19" s="34">
        <v>244.80225918806849</v>
      </c>
      <c r="E19" s="34">
        <v>11102289035.427128</v>
      </c>
      <c r="G19" s="32"/>
      <c r="H19" s="32"/>
      <c r="I19" s="33"/>
      <c r="J19" s="34"/>
      <c r="K19" s="34"/>
    </row>
    <row r="20" spans="1:11" x14ac:dyDescent="0.35">
      <c r="A20" s="32">
        <v>4309.7581042282345</v>
      </c>
      <c r="B20" s="32">
        <v>-1987.556829782819</v>
      </c>
      <c r="C20" s="33">
        <v>1</v>
      </c>
      <c r="D20" s="34">
        <v>272.00251020895388</v>
      </c>
      <c r="E20" s="34">
        <v>11620463875.790844</v>
      </c>
      <c r="G20" s="32"/>
      <c r="H20" s="32"/>
      <c r="I20" s="33"/>
      <c r="J20" s="34"/>
      <c r="K20" s="34"/>
    </row>
    <row r="21" spans="1:11" x14ac:dyDescent="0.35">
      <c r="A21" s="32">
        <v>4745.2696959008972</v>
      </c>
      <c r="B21" s="32">
        <v>-2067.2361465623626</v>
      </c>
      <c r="C21" s="33">
        <v>1</v>
      </c>
      <c r="D21" s="34">
        <v>299.20276122983927</v>
      </c>
      <c r="E21" s="34">
        <v>12228761419.769339</v>
      </c>
      <c r="G21" s="32"/>
      <c r="H21" s="32"/>
      <c r="I21" s="33"/>
      <c r="J21" s="34"/>
      <c r="K21" s="34"/>
    </row>
    <row r="22" spans="1:11" x14ac:dyDescent="0.35">
      <c r="A22" s="32">
        <v>5180.7812875735608</v>
      </c>
      <c r="B22" s="32">
        <v>-2136.461346618285</v>
      </c>
      <c r="C22" s="33">
        <v>1</v>
      </c>
      <c r="D22" s="34">
        <v>326.40301225072466</v>
      </c>
      <c r="E22" s="34">
        <v>12939641398.263075</v>
      </c>
      <c r="G22" s="32"/>
      <c r="H22" s="32"/>
      <c r="I22" s="33"/>
      <c r="J22" s="34"/>
      <c r="K22" s="34"/>
    </row>
    <row r="23" spans="1:11" x14ac:dyDescent="0.35">
      <c r="A23" s="32">
        <v>5616.2928792462244</v>
      </c>
      <c r="B23" s="32">
        <v>-2195.2324299505854</v>
      </c>
      <c r="C23" s="33">
        <v>1</v>
      </c>
      <c r="D23" s="34">
        <v>353.60326327161005</v>
      </c>
      <c r="E23" s="34">
        <v>13764885090.536964</v>
      </c>
      <c r="G23" s="32"/>
      <c r="H23" s="32"/>
      <c r="I23" s="33"/>
      <c r="J23" s="34"/>
      <c r="K23" s="34"/>
    </row>
    <row r="24" spans="1:11" x14ac:dyDescent="0.35">
      <c r="A24" s="32">
        <v>6051.8044709188871</v>
      </c>
      <c r="B24" s="32">
        <v>-2243.5493965592641</v>
      </c>
      <c r="C24" s="33">
        <v>1</v>
      </c>
      <c r="D24" s="34">
        <v>380.80351429249544</v>
      </c>
      <c r="E24" s="34">
        <v>14715819444.48209</v>
      </c>
      <c r="G24" s="32"/>
      <c r="H24" s="32"/>
      <c r="I24" s="33"/>
      <c r="J24" s="34"/>
      <c r="K24" s="34"/>
    </row>
    <row r="25" spans="1:11" x14ac:dyDescent="0.35">
      <c r="A25" s="32">
        <v>6487.3160625915507</v>
      </c>
      <c r="B25" s="32">
        <v>-2281.4122464443212</v>
      </c>
      <c r="C25" s="33">
        <v>1</v>
      </c>
      <c r="D25" s="34">
        <v>408.00376531338082</v>
      </c>
      <c r="E25" s="34">
        <v>15803457859.539982</v>
      </c>
      <c r="G25" s="32"/>
      <c r="H25" s="32"/>
      <c r="I25" s="33"/>
      <c r="J25" s="34"/>
      <c r="K25" s="34"/>
    </row>
    <row r="26" spans="1:11" x14ac:dyDescent="0.35">
      <c r="A26" s="32">
        <v>6922.8276542642143</v>
      </c>
      <c r="B26" s="32">
        <v>-2308.8209796057577</v>
      </c>
      <c r="C26" s="33">
        <v>1</v>
      </c>
      <c r="D26" s="34">
        <v>435.20401633426621</v>
      </c>
      <c r="E26" s="34">
        <v>17038591675.550898</v>
      </c>
      <c r="G26" s="32"/>
      <c r="H26" s="32"/>
      <c r="I26" s="33"/>
      <c r="J26" s="34"/>
      <c r="K26" s="34"/>
    </row>
    <row r="27" spans="1:11" x14ac:dyDescent="0.35">
      <c r="A27" s="32">
        <v>7358.3392459368788</v>
      </c>
      <c r="B27" s="32">
        <v>-2325.7755960435716</v>
      </c>
      <c r="C27" s="33">
        <v>1</v>
      </c>
      <c r="D27" s="34">
        <v>462.4042673551516</v>
      </c>
      <c r="E27" s="34">
        <v>18431851393.813393</v>
      </c>
      <c r="G27" s="32"/>
      <c r="H27" s="32"/>
      <c r="I27" s="33"/>
      <c r="J27" s="34"/>
      <c r="K27" s="34"/>
    </row>
    <row r="28" spans="1:11" x14ac:dyDescent="0.35">
      <c r="A28" s="32">
        <v>7793.8508376095406</v>
      </c>
      <c r="B28" s="32">
        <v>-2332.2760957577639</v>
      </c>
      <c r="C28" s="33">
        <v>1</v>
      </c>
      <c r="D28" s="34">
        <v>489.60451837603699</v>
      </c>
      <c r="E28" s="34">
        <v>19993748702.460754</v>
      </c>
      <c r="G28" s="32"/>
      <c r="H28" s="32"/>
      <c r="I28" s="33"/>
      <c r="J28" s="34"/>
      <c r="K28" s="34"/>
    </row>
    <row r="29" spans="1:11" x14ac:dyDescent="0.35">
      <c r="A29" s="32">
        <v>8229.3624292822024</v>
      </c>
      <c r="B29" s="32">
        <v>-2328.322478748335</v>
      </c>
      <c r="C29" s="33">
        <v>1</v>
      </c>
      <c r="D29" s="34">
        <v>516.80476939692232</v>
      </c>
      <c r="E29" s="34">
        <v>21734705979.304794</v>
      </c>
      <c r="G29" s="32"/>
      <c r="H29" s="32"/>
      <c r="I29" s="33"/>
      <c r="J29" s="34"/>
      <c r="K29" s="34"/>
    </row>
    <row r="30" spans="1:11" x14ac:dyDescent="0.35">
      <c r="A30" s="32">
        <v>8707.4527697107333</v>
      </c>
      <c r="B30" s="32">
        <v>-2298.5863954631727</v>
      </c>
      <c r="C30" s="33">
        <v>1</v>
      </c>
      <c r="D30" s="34">
        <v>544.00502041780771</v>
      </c>
      <c r="E30" s="34">
        <v>23665077419.488602</v>
      </c>
      <c r="G30" s="32"/>
      <c r="H30" s="32"/>
      <c r="I30" s="33"/>
      <c r="J30" s="34"/>
      <c r="K30" s="34"/>
    </row>
    <row r="31" spans="1:11" x14ac:dyDescent="0.35">
      <c r="A31" s="32">
        <v>9264.7463257283343</v>
      </c>
      <c r="B31" s="32">
        <v>-2229.8830378423231</v>
      </c>
      <c r="C31" s="33">
        <v>1</v>
      </c>
      <c r="D31" s="34">
        <v>571.2052714386931</v>
      </c>
      <c r="E31" s="34">
        <v>25795164436.423313</v>
      </c>
      <c r="G31" s="32"/>
      <c r="H31" s="32"/>
      <c r="I31" s="33"/>
      <c r="J31" s="34"/>
      <c r="K31" s="34"/>
    </row>
    <row r="32" spans="1:11" x14ac:dyDescent="0.35">
      <c r="A32" s="32">
        <v>9810.9687940782169</v>
      </c>
      <c r="B32" s="32">
        <v>-2154.7111550582313</v>
      </c>
      <c r="C32" s="33">
        <v>1</v>
      </c>
      <c r="D32" s="34">
        <v>598.40552245957849</v>
      </c>
      <c r="E32" s="34">
        <v>28135227068.685986</v>
      </c>
      <c r="G32" s="32"/>
      <c r="H32" s="32"/>
      <c r="I32" s="33"/>
      <c r="J32" s="34"/>
      <c r="K32" s="34"/>
    </row>
    <row r="33" spans="1:11" x14ac:dyDescent="0.35">
      <c r="A33" s="32">
        <v>10347.564229673555</v>
      </c>
      <c r="B33" s="32">
        <v>-2072.5508873421513</v>
      </c>
      <c r="C33" s="33">
        <v>1</v>
      </c>
      <c r="D33" s="34">
        <v>625.60577348046388</v>
      </c>
      <c r="E33" s="34">
        <v>30695492551.247978</v>
      </c>
      <c r="G33" s="32"/>
      <c r="H33" s="32"/>
      <c r="I33" s="33"/>
      <c r="J33" s="34"/>
      <c r="K33" s="34"/>
    </row>
    <row r="34" spans="1:11" x14ac:dyDescent="0.35">
      <c r="A34" s="32">
        <v>10875.736011608677</v>
      </c>
      <c r="B34" s="32">
        <v>-1982.9690182201305</v>
      </c>
      <c r="C34" s="33">
        <v>1</v>
      </c>
      <c r="D34" s="34">
        <v>652.80602450134927</v>
      </c>
      <c r="E34" s="34">
        <v>33486161840.729164</v>
      </c>
      <c r="G34" s="32"/>
      <c r="H34" s="32"/>
      <c r="I34" s="33"/>
      <c r="J34" s="34"/>
      <c r="K34" s="34"/>
    </row>
    <row r="35" spans="1:11" x14ac:dyDescent="0.35">
      <c r="A35" s="32">
        <v>11396.494978322802</v>
      </c>
      <c r="B35" s="32">
        <v>-1885.601645854046</v>
      </c>
      <c r="C35" s="33">
        <v>1</v>
      </c>
      <c r="D35" s="34">
        <v>680.00627552223466</v>
      </c>
      <c r="E35" s="34">
        <v>36517414642.653053</v>
      </c>
      <c r="G35" s="32"/>
      <c r="H35" s="32"/>
      <c r="I35" s="33"/>
      <c r="J35" s="34"/>
      <c r="K35" s="34"/>
    </row>
    <row r="36" spans="1:11" x14ac:dyDescent="0.35">
      <c r="A36" s="32">
        <v>11910.696454649122</v>
      </c>
      <c r="B36" s="32">
        <v>-1780.1408533039494</v>
      </c>
      <c r="C36" s="33">
        <v>1</v>
      </c>
      <c r="D36" s="34">
        <v>707.20652654312005</v>
      </c>
      <c r="E36" s="34">
        <v>39799413327.128601</v>
      </c>
      <c r="G36" s="32"/>
      <c r="H36" s="32"/>
      <c r="I36" s="33"/>
      <c r="J36" s="34"/>
      <c r="K36" s="34"/>
    </row>
    <row r="37" spans="1:11" x14ac:dyDescent="0.35">
      <c r="A37" s="32">
        <v>12419.069050630727</v>
      </c>
      <c r="B37" s="32">
        <v>-1666.3243409543284</v>
      </c>
      <c r="C37" s="33">
        <v>1</v>
      </c>
      <c r="D37" s="34">
        <v>734.40677756400544</v>
      </c>
      <c r="E37" s="34">
        <v>43342306009.509476</v>
      </c>
      <c r="G37" s="32"/>
      <c r="H37" s="32"/>
      <c r="I37" s="33"/>
      <c r="J37" s="34"/>
      <c r="K37" s="34"/>
    </row>
    <row r="38" spans="1:11" x14ac:dyDescent="0.35">
      <c r="A38" s="32">
        <v>12922.237289161696</v>
      </c>
      <c r="B38" s="32">
        <v>-1543.9272805633152</v>
      </c>
      <c r="C38" s="33">
        <v>1</v>
      </c>
      <c r="D38" s="34">
        <v>761.60702858489083</v>
      </c>
      <c r="E38" s="34">
        <v>47156228996.648239</v>
      </c>
      <c r="G38" s="32"/>
      <c r="H38" s="32"/>
      <c r="I38" s="33"/>
      <c r="J38" s="34"/>
      <c r="K38" s="34"/>
    </row>
    <row r="39" spans="1:11" x14ac:dyDescent="0.35">
      <c r="A39" s="32">
        <v>13420.739552047266</v>
      </c>
      <c r="B39" s="32">
        <v>-1412.7558546810249</v>
      </c>
      <c r="C39" s="33">
        <v>1</v>
      </c>
      <c r="D39" s="34">
        <v>788.80727960577622</v>
      </c>
      <c r="E39" s="34">
        <v>51251308746.105743</v>
      </c>
      <c r="G39" s="32"/>
      <c r="H39" s="32"/>
      <c r="I39" s="33"/>
      <c r="J39" s="34"/>
      <c r="K39" s="34"/>
    </row>
    <row r="40" spans="1:11" x14ac:dyDescent="0.35">
      <c r="A40" s="32">
        <v>13915.0425</v>
      </c>
      <c r="B40" s="32">
        <v>-1272.642088184755</v>
      </c>
      <c r="C40" s="33">
        <v>1</v>
      </c>
      <c r="D40" s="34">
        <v>816.00753062656145</v>
      </c>
      <c r="E40" s="34">
        <v>54118074677.29818</v>
      </c>
      <c r="G40" s="32"/>
      <c r="H40" s="32"/>
      <c r="I40" s="33"/>
      <c r="J40" s="34"/>
      <c r="K40" s="34"/>
    </row>
    <row r="41" spans="1:11" x14ac:dyDescent="0.35">
      <c r="A41" s="32">
        <v>13915.0425</v>
      </c>
      <c r="B41" s="32">
        <v>0</v>
      </c>
      <c r="C41" s="33">
        <v>1</v>
      </c>
      <c r="D41" s="34"/>
      <c r="E41" s="34"/>
      <c r="G41" s="32"/>
      <c r="H41" s="32"/>
      <c r="I41" s="33"/>
      <c r="J41" s="34"/>
      <c r="K41" s="34"/>
    </row>
    <row r="42" spans="1:11" x14ac:dyDescent="0.35">
      <c r="A42" s="32"/>
      <c r="B42" s="32"/>
      <c r="C42" s="33"/>
      <c r="D42" s="34"/>
      <c r="E42" s="34"/>
      <c r="G42" s="32"/>
      <c r="H42" s="32"/>
      <c r="I42" s="33"/>
      <c r="J42" s="34"/>
      <c r="K42" s="34"/>
    </row>
    <row r="43" spans="1:11" x14ac:dyDescent="0.35">
      <c r="A43" s="32">
        <v>-2000</v>
      </c>
      <c r="B43" s="32">
        <v>21.250000000789225</v>
      </c>
      <c r="C43" s="33">
        <v>1</v>
      </c>
      <c r="D43" s="34">
        <v>1E-10</v>
      </c>
      <c r="E43" s="34">
        <v>4633947725.1340628</v>
      </c>
      <c r="G43" s="32"/>
      <c r="H43" s="32"/>
      <c r="I43" s="33"/>
      <c r="J43" s="34"/>
      <c r="K43" s="34"/>
    </row>
    <row r="44" spans="1:11" x14ac:dyDescent="0.35">
      <c r="A44" s="32">
        <v>-1262.9125955442878</v>
      </c>
      <c r="B44" s="32">
        <v>206.11806798404882</v>
      </c>
      <c r="C44" s="33">
        <v>1</v>
      </c>
      <c r="D44" s="34">
        <v>27.298669763532921</v>
      </c>
      <c r="E44" s="34">
        <v>7643605029.3483658</v>
      </c>
      <c r="G44" s="32"/>
      <c r="H44" s="32"/>
      <c r="I44" s="33"/>
      <c r="J44" s="34"/>
      <c r="K44" s="34"/>
    </row>
    <row r="45" spans="1:11" x14ac:dyDescent="0.35">
      <c r="A45" s="32">
        <v>-629.78848192370015</v>
      </c>
      <c r="B45" s="32">
        <v>451.02944535903788</v>
      </c>
      <c r="C45" s="33">
        <v>1</v>
      </c>
      <c r="D45" s="34">
        <v>54.59733952696584</v>
      </c>
      <c r="E45" s="34">
        <v>8797086754.1876698</v>
      </c>
      <c r="G45" s="32"/>
      <c r="H45" s="32"/>
      <c r="I45" s="33"/>
      <c r="J45" s="34"/>
      <c r="K45" s="34"/>
    </row>
    <row r="46" spans="1:11" x14ac:dyDescent="0.35">
      <c r="A46" s="32">
        <v>608.62001947394037</v>
      </c>
      <c r="B46" s="32">
        <v>903.31329642547121</v>
      </c>
      <c r="C46" s="33">
        <v>1</v>
      </c>
      <c r="D46" s="34">
        <v>81.896009290398766</v>
      </c>
      <c r="E46" s="34">
        <v>9422668382.4725761</v>
      </c>
      <c r="G46" s="32"/>
      <c r="H46" s="32"/>
      <c r="I46" s="33"/>
      <c r="J46" s="34"/>
      <c r="K46" s="34"/>
    </row>
    <row r="47" spans="1:11" x14ac:dyDescent="0.35">
      <c r="A47" s="32">
        <v>1401.0101599001835</v>
      </c>
      <c r="B47" s="32">
        <v>1184.5006316339063</v>
      </c>
      <c r="C47" s="33">
        <v>1</v>
      </c>
      <c r="D47" s="34">
        <v>109.19467905383169</v>
      </c>
      <c r="E47" s="34">
        <v>9861636336.5607262</v>
      </c>
      <c r="G47" s="32"/>
      <c r="H47" s="32"/>
      <c r="I47" s="33"/>
      <c r="J47" s="34"/>
      <c r="K47" s="34"/>
    </row>
    <row r="48" spans="1:11" x14ac:dyDescent="0.35">
      <c r="A48" s="32">
        <v>2078.4938934376896</v>
      </c>
      <c r="B48" s="32">
        <v>1413.7917544541019</v>
      </c>
      <c r="C48" s="33">
        <v>1</v>
      </c>
      <c r="D48" s="34">
        <v>136.4933488172646</v>
      </c>
      <c r="E48" s="34">
        <v>10218572545.159021</v>
      </c>
      <c r="G48" s="32"/>
      <c r="H48" s="32"/>
      <c r="I48" s="33"/>
      <c r="J48" s="34"/>
      <c r="K48" s="34"/>
    </row>
    <row r="49" spans="1:11" x14ac:dyDescent="0.35">
      <c r="A49" s="32">
        <v>2577.1666142262679</v>
      </c>
      <c r="B49" s="32">
        <v>1568.1810067763881</v>
      </c>
      <c r="C49" s="33">
        <v>1</v>
      </c>
      <c r="D49" s="34">
        <v>163.79201858069752</v>
      </c>
      <c r="E49" s="34">
        <v>10555270549.45928</v>
      </c>
      <c r="G49" s="32"/>
      <c r="H49" s="32"/>
      <c r="I49" s="33"/>
      <c r="J49" s="34"/>
      <c r="K49" s="34"/>
    </row>
    <row r="50" spans="1:11" x14ac:dyDescent="0.35">
      <c r="A50" s="32">
        <v>3014.2540186803785</v>
      </c>
      <c r="B50" s="32">
        <v>1689.8696393099713</v>
      </c>
      <c r="C50" s="33">
        <v>1</v>
      </c>
      <c r="D50" s="34">
        <v>191.09068834413043</v>
      </c>
      <c r="E50" s="34">
        <v>10908131287.032116</v>
      </c>
      <c r="G50" s="32"/>
      <c r="H50" s="32"/>
      <c r="I50" s="33"/>
      <c r="J50" s="34"/>
      <c r="K50" s="34"/>
    </row>
    <row r="51" spans="1:11" x14ac:dyDescent="0.35">
      <c r="A51" s="32">
        <v>3451.3414231344891</v>
      </c>
      <c r="B51" s="32">
        <v>1801.0283659352599</v>
      </c>
      <c r="C51" s="33">
        <v>1</v>
      </c>
      <c r="D51" s="34">
        <v>218.38935810756334</v>
      </c>
      <c r="E51" s="34">
        <v>11302066504.048725</v>
      </c>
      <c r="G51" s="32"/>
      <c r="H51" s="32"/>
      <c r="I51" s="33"/>
      <c r="J51" s="34"/>
      <c r="K51" s="34"/>
    </row>
    <row r="52" spans="1:11" x14ac:dyDescent="0.35">
      <c r="A52" s="32">
        <v>3888.4288275886006</v>
      </c>
      <c r="B52" s="32">
        <v>1901.6571866522536</v>
      </c>
      <c r="C52" s="33">
        <v>1</v>
      </c>
      <c r="D52" s="34">
        <v>245.68802787099625</v>
      </c>
      <c r="E52" s="34">
        <v>11756168628.640671</v>
      </c>
      <c r="G52" s="32"/>
      <c r="H52" s="32"/>
      <c r="I52" s="33"/>
      <c r="J52" s="34"/>
      <c r="K52" s="34"/>
    </row>
    <row r="53" spans="1:11" x14ac:dyDescent="0.35">
      <c r="A53" s="32">
        <v>4325.5162320427107</v>
      </c>
      <c r="B53" s="32">
        <v>1991.7561014609523</v>
      </c>
      <c r="C53" s="33">
        <v>1</v>
      </c>
      <c r="D53" s="34">
        <v>272.98669763442916</v>
      </c>
      <c r="E53" s="34">
        <v>12286324599.802921</v>
      </c>
      <c r="G53" s="32"/>
      <c r="H53" s="32"/>
      <c r="I53" s="33"/>
      <c r="J53" s="34"/>
      <c r="K53" s="34"/>
    </row>
    <row r="54" spans="1:11" x14ac:dyDescent="0.35">
      <c r="A54" s="32">
        <v>4762.6036364968222</v>
      </c>
      <c r="B54" s="32">
        <v>2071.3251103613561</v>
      </c>
      <c r="C54" s="33">
        <v>1</v>
      </c>
      <c r="D54" s="34">
        <v>300.2853673978621</v>
      </c>
      <c r="E54" s="34">
        <v>12906536978.938721</v>
      </c>
      <c r="G54" s="32"/>
      <c r="H54" s="32"/>
      <c r="I54" s="33"/>
      <c r="J54" s="34"/>
      <c r="K54" s="34"/>
    </row>
    <row r="55" spans="1:11" x14ac:dyDescent="0.35">
      <c r="A55" s="32">
        <v>5199.6910409509328</v>
      </c>
      <c r="B55" s="32">
        <v>2140.3642133534654</v>
      </c>
      <c r="C55" s="33">
        <v>1</v>
      </c>
      <c r="D55" s="34">
        <v>327.58403716129504</v>
      </c>
      <c r="E55" s="34">
        <v>13629641436.898643</v>
      </c>
      <c r="G55" s="32"/>
      <c r="H55" s="32"/>
      <c r="I55" s="33"/>
      <c r="J55" s="34"/>
      <c r="K55" s="34"/>
    </row>
    <row r="56" spans="1:11" x14ac:dyDescent="0.35">
      <c r="A56" s="32">
        <v>5636.7784454050443</v>
      </c>
      <c r="B56" s="32">
        <v>2198.8734104372797</v>
      </c>
      <c r="C56" s="33">
        <v>1</v>
      </c>
      <c r="D56" s="34">
        <v>354.88270692472798</v>
      </c>
      <c r="E56" s="34">
        <v>14467719614.165588</v>
      </c>
      <c r="G56" s="32"/>
      <c r="H56" s="32"/>
      <c r="I56" s="33"/>
      <c r="J56" s="34"/>
      <c r="K56" s="34"/>
    </row>
    <row r="57" spans="1:11" x14ac:dyDescent="0.35">
      <c r="A57" s="32">
        <v>6073.8658498591558</v>
      </c>
      <c r="B57" s="32">
        <v>2246.8527016127996</v>
      </c>
      <c r="C57" s="33">
        <v>1</v>
      </c>
      <c r="D57" s="34">
        <v>382.18137668816092</v>
      </c>
      <c r="E57" s="34">
        <v>15432348275.266998</v>
      </c>
      <c r="G57" s="32"/>
      <c r="H57" s="32"/>
      <c r="I57" s="33"/>
      <c r="J57" s="34"/>
      <c r="K57" s="34"/>
    </row>
    <row r="58" spans="1:11" x14ac:dyDescent="0.35">
      <c r="A58" s="32">
        <v>6510.9532543132673</v>
      </c>
      <c r="B58" s="32">
        <v>2284.302086880024</v>
      </c>
      <c r="C58" s="33">
        <v>1</v>
      </c>
      <c r="D58" s="34">
        <v>409.48004645159386</v>
      </c>
      <c r="E58" s="34">
        <v>16534755793.581043</v>
      </c>
      <c r="G58" s="32"/>
      <c r="H58" s="32"/>
      <c r="I58" s="33"/>
      <c r="J58" s="34"/>
      <c r="K58" s="34"/>
    </row>
    <row r="59" spans="1:11" x14ac:dyDescent="0.35">
      <c r="A59" s="32">
        <v>6948.0406587673797</v>
      </c>
      <c r="B59" s="32">
        <v>2311.221566238954</v>
      </c>
      <c r="C59" s="33">
        <v>1</v>
      </c>
      <c r="D59" s="34">
        <v>436.7787162150268</v>
      </c>
      <c r="E59" s="34">
        <v>17785923831.0742</v>
      </c>
      <c r="G59" s="32"/>
      <c r="H59" s="32"/>
      <c r="I59" s="33"/>
      <c r="J59" s="34"/>
      <c r="K59" s="34"/>
    </row>
    <row r="60" spans="1:11" x14ac:dyDescent="0.35">
      <c r="A60" s="32">
        <v>7385.1280632214903</v>
      </c>
      <c r="B60" s="32">
        <v>2327.611139689589</v>
      </c>
      <c r="C60" s="33">
        <v>1</v>
      </c>
      <c r="D60" s="34">
        <v>464.07738597845974</v>
      </c>
      <c r="E60" s="34">
        <v>19196655371.141319</v>
      </c>
      <c r="G60" s="32"/>
      <c r="H60" s="32"/>
      <c r="I60" s="33"/>
      <c r="J60" s="34"/>
      <c r="K60" s="34"/>
    </row>
    <row r="61" spans="1:11" x14ac:dyDescent="0.35">
      <c r="A61" s="32">
        <v>7822.2154676756018</v>
      </c>
      <c r="B61" s="32">
        <v>2333.4708072319295</v>
      </c>
      <c r="C61" s="33">
        <v>1</v>
      </c>
      <c r="D61" s="34">
        <v>491.37605574189269</v>
      </c>
      <c r="E61" s="34">
        <v>20777621415.382736</v>
      </c>
      <c r="G61" s="32"/>
      <c r="H61" s="32"/>
      <c r="I61" s="33"/>
      <c r="J61" s="34"/>
      <c r="K61" s="34"/>
    </row>
    <row r="62" spans="1:11" x14ac:dyDescent="0.35">
      <c r="A62" s="32">
        <v>8259.3028721297123</v>
      </c>
      <c r="B62" s="32">
        <v>2328.8005688659746</v>
      </c>
      <c r="C62" s="33">
        <v>1</v>
      </c>
      <c r="D62" s="34">
        <v>518.67472550532557</v>
      </c>
      <c r="E62" s="34">
        <v>22539393763.055416</v>
      </c>
      <c r="G62" s="32"/>
      <c r="H62" s="32"/>
      <c r="I62" s="33"/>
      <c r="J62" s="34"/>
      <c r="K62" s="34"/>
    </row>
    <row r="63" spans="1:11" x14ac:dyDescent="0.35">
      <c r="A63" s="32">
        <v>8696.3902765838229</v>
      </c>
      <c r="B63" s="32">
        <v>2313.6004245917247</v>
      </c>
      <c r="C63" s="33">
        <v>1</v>
      </c>
      <c r="D63" s="34">
        <v>545.97339526875851</v>
      </c>
      <c r="E63" s="34">
        <v>24492468483.374844</v>
      </c>
      <c r="G63" s="32"/>
      <c r="H63" s="32"/>
      <c r="I63" s="33"/>
      <c r="J63" s="34"/>
      <c r="K63" s="34"/>
    </row>
    <row r="64" spans="1:11" x14ac:dyDescent="0.35">
      <c r="A64" s="32">
        <v>9230.3032067690383</v>
      </c>
      <c r="B64" s="32">
        <v>2250.5925470027055</v>
      </c>
      <c r="C64" s="33">
        <v>1</v>
      </c>
      <c r="D64" s="34">
        <v>573.27206503219145</v>
      </c>
      <c r="E64" s="34">
        <v>26647283024.399368</v>
      </c>
      <c r="G64" s="32"/>
      <c r="H64" s="32"/>
      <c r="I64" s="33"/>
      <c r="J64" s="34"/>
      <c r="K64" s="34"/>
    </row>
    <row r="65" spans="1:11" x14ac:dyDescent="0.35">
      <c r="A65" s="32">
        <v>9781.1712691444445</v>
      </c>
      <c r="B65" s="32">
        <v>2170.527037612168</v>
      </c>
      <c r="C65" s="33">
        <v>1</v>
      </c>
      <c r="D65" s="34">
        <v>600.57073479562439</v>
      </c>
      <c r="E65" s="34">
        <v>29014228884.155334</v>
      </c>
      <c r="G65" s="32"/>
      <c r="H65" s="32"/>
      <c r="I65" s="33"/>
      <c r="J65" s="34"/>
      <c r="K65" s="34"/>
    </row>
    <row r="66" spans="1:11" x14ac:dyDescent="0.35">
      <c r="A66" s="32">
        <v>10322.145361265826</v>
      </c>
      <c r="B66" s="32">
        <v>2083.7408008611346</v>
      </c>
      <c r="C66" s="33">
        <v>1</v>
      </c>
      <c r="D66" s="34">
        <v>627.86940455905733</v>
      </c>
      <c r="E66" s="34">
        <v>31603661131.280884</v>
      </c>
      <c r="G66" s="32"/>
      <c r="H66" s="32"/>
      <c r="I66" s="33"/>
      <c r="J66" s="34"/>
      <c r="K66" s="34"/>
    </row>
    <row r="67" spans="1:11" x14ac:dyDescent="0.35">
      <c r="A67" s="32">
        <v>10854.462229414938</v>
      </c>
      <c r="B67" s="32">
        <v>1989.7576894311312</v>
      </c>
      <c r="C67" s="33">
        <v>1</v>
      </c>
      <c r="D67" s="34">
        <v>655.16807432249027</v>
      </c>
      <c r="E67" s="34">
        <v>34425905652.697182</v>
      </c>
      <c r="G67" s="32"/>
      <c r="H67" s="32"/>
      <c r="I67" s="33"/>
      <c r="J67" s="34"/>
      <c r="K67" s="34"/>
    </row>
    <row r="68" spans="1:11" x14ac:dyDescent="0.35">
      <c r="A68" s="32">
        <v>11379.160740468451</v>
      </c>
      <c r="B68" s="32">
        <v>1888.1777395746387</v>
      </c>
      <c r="C68" s="33">
        <v>1</v>
      </c>
      <c r="D68" s="34">
        <v>682.46674408592321</v>
      </c>
      <c r="E68" s="34">
        <v>37491264737.175194</v>
      </c>
      <c r="G68" s="32"/>
      <c r="H68" s="32"/>
      <c r="I68" s="33"/>
      <c r="J68" s="34"/>
      <c r="K68" s="34"/>
    </row>
    <row r="69" spans="1:11" x14ac:dyDescent="0.35">
      <c r="A69" s="32">
        <v>11897.119935629702</v>
      </c>
      <c r="B69" s="32">
        <v>1778.6625204283703</v>
      </c>
      <c r="C69" s="33">
        <v>1</v>
      </c>
      <c r="D69" s="34">
        <v>709.76541384935615</v>
      </c>
      <c r="E69" s="34">
        <v>40810021424.136871</v>
      </c>
      <c r="G69" s="32"/>
      <c r="H69" s="32"/>
      <c r="I69" s="33"/>
      <c r="J69" s="34"/>
      <c r="K69" s="34"/>
    </row>
    <row r="70" spans="1:11" x14ac:dyDescent="0.35">
      <c r="A70" s="32">
        <v>12409.088627775611</v>
      </c>
      <c r="B70" s="32">
        <v>1660.9237390347155</v>
      </c>
      <c r="C70" s="33">
        <v>1</v>
      </c>
      <c r="D70" s="34">
        <v>737.06408361278909</v>
      </c>
      <c r="E70" s="34">
        <v>44392442924.935638</v>
      </c>
      <c r="G70" s="32"/>
      <c r="H70" s="32"/>
      <c r="I70" s="33"/>
      <c r="J70" s="34"/>
      <c r="K70" s="34"/>
    </row>
    <row r="71" spans="1:11" x14ac:dyDescent="0.35">
      <c r="A71" s="32">
        <v>12915.708656514962</v>
      </c>
      <c r="B71" s="32">
        <v>1534.7142871442893</v>
      </c>
      <c r="C71" s="33">
        <v>1</v>
      </c>
      <c r="D71" s="34">
        <v>764.36275337622203</v>
      </c>
      <c r="E71" s="34">
        <v>48248783339.488457</v>
      </c>
      <c r="G71" s="32"/>
      <c r="H71" s="32"/>
      <c r="I71" s="33"/>
      <c r="J71" s="34"/>
      <c r="K71" s="34"/>
    </row>
    <row r="72" spans="1:11" x14ac:dyDescent="0.35">
      <c r="A72" s="32">
        <v>13417.533331855333</v>
      </c>
      <c r="B72" s="32">
        <v>1399.8211404041765</v>
      </c>
      <c r="C72" s="33">
        <v>1</v>
      </c>
      <c r="D72" s="34">
        <v>791.66142313965497</v>
      </c>
      <c r="E72" s="34">
        <v>52389285831.95742</v>
      </c>
      <c r="G72" s="32"/>
      <c r="H72" s="32"/>
      <c r="I72" s="33"/>
      <c r="J72" s="34"/>
      <c r="K72" s="34"/>
    </row>
    <row r="73" spans="1:11" x14ac:dyDescent="0.35">
      <c r="A73" s="32">
        <v>13915.0425</v>
      </c>
      <c r="B73" s="32">
        <v>1256.0596777090609</v>
      </c>
      <c r="C73" s="33">
        <v>1</v>
      </c>
      <c r="D73" s="34">
        <v>818.96009290298764</v>
      </c>
      <c r="E73" s="34">
        <v>56824184387.097664</v>
      </c>
      <c r="G73" s="32"/>
      <c r="H73" s="32"/>
      <c r="I73" s="33"/>
      <c r="J73" s="34"/>
      <c r="K73" s="34"/>
    </row>
    <row r="74" spans="1:11" x14ac:dyDescent="0.35">
      <c r="A74" s="32">
        <v>13915.0425</v>
      </c>
      <c r="B74" s="32">
        <v>0</v>
      </c>
      <c r="C74" s="33">
        <v>1</v>
      </c>
      <c r="D74" s="34"/>
      <c r="E74" s="34"/>
      <c r="G74" s="32"/>
      <c r="H74" s="32"/>
      <c r="I74" s="33"/>
      <c r="J74" s="34"/>
      <c r="K74" s="34"/>
    </row>
    <row r="75" spans="1:11" x14ac:dyDescent="0.35">
      <c r="A75" s="32"/>
      <c r="B75" s="32"/>
      <c r="C75" s="33"/>
      <c r="D75" s="34"/>
      <c r="E75" s="34"/>
      <c r="G75" s="32"/>
      <c r="H75" s="32"/>
      <c r="I75" s="33"/>
      <c r="J75" s="34"/>
      <c r="K75" s="34"/>
    </row>
    <row r="76" spans="1:11" x14ac:dyDescent="0.35">
      <c r="A76" s="32"/>
      <c r="B76" s="32"/>
      <c r="C76" s="33"/>
      <c r="D76" s="34"/>
      <c r="E76" s="34"/>
      <c r="G76" s="32"/>
      <c r="H76" s="32"/>
      <c r="I76" s="33"/>
      <c r="J76" s="34"/>
      <c r="K76" s="34"/>
    </row>
  </sheetData>
  <mergeCells count="3">
    <mergeCell ref="A1:C2"/>
    <mergeCell ref="E1:H2"/>
    <mergeCell ref="E3:H4"/>
  </mergeCells>
  <hyperlinks>
    <hyperlink ref="B3" r:id="rId1" display="WeldGroup" xr:uid="{86DC3F8C-3253-4BBF-9858-B1266928E8C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21B64E865AF049B20A5C3366A924EB" ma:contentTypeVersion="13" ma:contentTypeDescription="Create a new document." ma:contentTypeScope="" ma:versionID="2db897fd7638951ede3161f8f25e5bd6">
  <xsd:schema xmlns:xsd="http://www.w3.org/2001/XMLSchema" xmlns:xs="http://www.w3.org/2001/XMLSchema" xmlns:p="http://schemas.microsoft.com/office/2006/metadata/properties" xmlns:ns2="0cecb452-595f-4b09-9a2b-5821f34c1115" xmlns:ns3="e71b708c-f31f-4bef-8390-69ad37fbb32e" targetNamespace="http://schemas.microsoft.com/office/2006/metadata/properties" ma:root="true" ma:fieldsID="baf91899a129946f5d55dff89d199a2d" ns2:_="" ns3:_="">
    <xsd:import namespace="0cecb452-595f-4b09-9a2b-5821f34c1115"/>
    <xsd:import namespace="e71b708c-f31f-4bef-8390-69ad37fbb3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cb452-595f-4b09-9a2b-5821f34c1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66aa50-2606-4bee-b14b-7e98c91f20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b708c-f31f-4bef-8390-69ad37fbb3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034ae9-e890-46f2-b76b-2ab1a6db0394}" ma:internalName="TaxCatchAll" ma:showField="CatchAllData" ma:web="e71b708c-f31f-4bef-8390-69ad37fbb3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ecb452-595f-4b09-9a2b-5821f34c1115">
      <Terms xmlns="http://schemas.microsoft.com/office/infopath/2007/PartnerControls"/>
    </lcf76f155ced4ddcb4097134ff3c332f>
    <TaxCatchAll xmlns="e71b708c-f31f-4bef-8390-69ad37fbb32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0ADD07-A1D5-440A-8F43-E906426540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ecb452-595f-4b09-9a2b-5821f34c1115"/>
    <ds:schemaRef ds:uri="e71b708c-f31f-4bef-8390-69ad37fbb3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3AE424-46B0-46B1-827C-9D4B72E27C69}">
  <ds:schemaRefs>
    <ds:schemaRef ds:uri="http://schemas.microsoft.com/office/2006/metadata/properties"/>
    <ds:schemaRef ds:uri="http://schemas.microsoft.com/office/infopath/2007/PartnerControls"/>
    <ds:schemaRef ds:uri="0cecb452-595f-4b09-9a2b-5821f34c1115"/>
    <ds:schemaRef ds:uri="e71b708c-f31f-4bef-8390-69ad37fbb32e"/>
  </ds:schemaRefs>
</ds:datastoreItem>
</file>

<file path=customXml/itemProps3.xml><?xml version="1.0" encoding="utf-8"?>
<ds:datastoreItem xmlns:ds="http://schemas.openxmlformats.org/officeDocument/2006/customXml" ds:itemID="{E871DA54-4C7B-422C-B65D-DD29B2874F5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15M-200</vt:lpstr>
      <vt:lpstr>20M-200</vt:lpstr>
      <vt:lpstr>25M-200</vt:lpstr>
      <vt:lpstr>15M-200_central</vt:lpstr>
      <vt:lpstr>20M-200_central</vt:lpstr>
      <vt:lpstr>B20M-T25M-200_central</vt:lpstr>
      <vt:lpstr>B20M-150-T25M-200_central</vt:lpstr>
      <vt:lpstr>25M-200_central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Rivero, Ignacio</dc:creator>
  <cp:lastModifiedBy>Rivero, Ignacio</cp:lastModifiedBy>
  <dcterms:created xsi:type="dcterms:W3CDTF">2015-06-05T18:17:20Z</dcterms:created>
  <dcterms:modified xsi:type="dcterms:W3CDTF">2026-05-13T16:01:19Z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0x0101004121B64E865AF049B20A5C3366A924EB</vt:lpwstr>
  </property>
  <property fmtid="{D5CDD505-2E9C-101B-9397-08002B2CF9AE}" pid="3" name="MediaServiceImageTags">
    <vt:lpwstr/>
  </property>
</Properties>
</file>